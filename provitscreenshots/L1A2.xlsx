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alco\OneDrive\Desktop\Global Chelsea Spring 2026\"/>
    </mc:Choice>
  </mc:AlternateContent>
  <xr:revisionPtr revIDLastSave="0" documentId="13_ncr:1_{62FAA949-8CCE-48A2-A412-A0008AB53FD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eter Proving Test Record ( (4)" sheetId="1" r:id="rId1"/>
    <sheet name="Meter Proving Test Record ( (3)" sheetId="2" r:id="rId2"/>
    <sheet name="Meter Proving Test Record" sheetId="3" r:id="rId3"/>
  </sheets>
  <definedNames>
    <definedName name="_xlnm.Print_Area" localSheetId="2">'Meter Proving Test Record'!$A$3:$Z$44</definedName>
    <definedName name="_xlnm.Print_Area" localSheetId="1">'Meter Proving Test Record ( (3)'!$B$1:$Z$40</definedName>
    <definedName name="_xlnm.Print_Area" localSheetId="0">'Meter Proving Test Record ( (4)'!$B$1:$Z$40</definedName>
    <definedName name="Shelltable" localSheetId="1">'Meter Proving Test Record ( (3)'!$BJ$9:$BK$352</definedName>
    <definedName name="Shelltable" localSheetId="0">'Meter Proving Test Record ( (4)'!$BJ$9:$BK$352</definedName>
    <definedName name="Shelltable">'Meter Proving Test Record'!$BJ$9:$BK$352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6" i="3" l="1"/>
  <c r="S26" i="3"/>
  <c r="O26" i="3"/>
  <c r="K26" i="3"/>
  <c r="G26" i="3"/>
  <c r="C26" i="3"/>
  <c r="K24" i="3"/>
  <c r="W23" i="3"/>
  <c r="W24" i="3" s="1"/>
  <c r="S23" i="3"/>
  <c r="S24" i="3" s="1"/>
  <c r="O23" i="3"/>
  <c r="O24" i="3" s="1"/>
  <c r="K23" i="3"/>
  <c r="G23" i="3"/>
  <c r="G24" i="3" s="1"/>
  <c r="C23" i="3"/>
  <c r="C24" i="3" s="1"/>
  <c r="K18" i="3"/>
  <c r="K20" i="3" s="1"/>
  <c r="G18" i="3"/>
  <c r="C18" i="3"/>
  <c r="W17" i="3"/>
  <c r="W19" i="3" s="1"/>
  <c r="S17" i="3"/>
  <c r="S18" i="3" s="1"/>
  <c r="O17" i="3"/>
  <c r="O19" i="3" s="1"/>
  <c r="K17" i="3"/>
  <c r="K19" i="3" s="1"/>
  <c r="G17" i="3"/>
  <c r="G19" i="3" s="1"/>
  <c r="C17" i="3"/>
  <c r="C19" i="3" s="1"/>
  <c r="W26" i="2"/>
  <c r="S26" i="2"/>
  <c r="O26" i="2"/>
  <c r="K26" i="2"/>
  <c r="G26" i="2"/>
  <c r="C26" i="2"/>
  <c r="W24" i="2"/>
  <c r="S24" i="2"/>
  <c r="O24" i="2"/>
  <c r="W23" i="2"/>
  <c r="S23" i="2"/>
  <c r="O23" i="2"/>
  <c r="K23" i="2"/>
  <c r="K24" i="2" s="1"/>
  <c r="G23" i="2"/>
  <c r="G24" i="2" s="1"/>
  <c r="C23" i="2"/>
  <c r="C24" i="2" s="1"/>
  <c r="G19" i="2"/>
  <c r="W18" i="2"/>
  <c r="S18" i="2"/>
  <c r="O18" i="2"/>
  <c r="W17" i="2"/>
  <c r="W19" i="2" s="1"/>
  <c r="S17" i="2"/>
  <c r="S19" i="2" s="1"/>
  <c r="O17" i="2"/>
  <c r="O19" i="2" s="1"/>
  <c r="K17" i="2"/>
  <c r="K18" i="2" s="1"/>
  <c r="G17" i="2"/>
  <c r="G18" i="2" s="1"/>
  <c r="G20" i="2" s="1"/>
  <c r="C17" i="2"/>
  <c r="C18" i="2" s="1"/>
  <c r="W26" i="1"/>
  <c r="S26" i="1"/>
  <c r="O26" i="1"/>
  <c r="K26" i="1"/>
  <c r="W23" i="1"/>
  <c r="W24" i="1" s="1"/>
  <c r="S23" i="1"/>
  <c r="S24" i="1" s="1"/>
  <c r="O23" i="1"/>
  <c r="O24" i="1" s="1"/>
  <c r="K23" i="1"/>
  <c r="K24" i="1" s="1"/>
  <c r="G23" i="1"/>
  <c r="G24" i="1" s="1"/>
  <c r="C23" i="1"/>
  <c r="C24" i="1" s="1"/>
  <c r="K18" i="1"/>
  <c r="W17" i="1"/>
  <c r="W18" i="1" s="1"/>
  <c r="S17" i="1"/>
  <c r="S18" i="1" s="1"/>
  <c r="O17" i="1"/>
  <c r="O19" i="1" s="1"/>
  <c r="K17" i="1"/>
  <c r="K19" i="1" s="1"/>
  <c r="G17" i="1"/>
  <c r="G19" i="1" s="1"/>
  <c r="C17" i="1"/>
  <c r="C19" i="1" s="1"/>
  <c r="G18" i="1" l="1"/>
  <c r="G20" i="1" s="1"/>
  <c r="C18" i="1"/>
  <c r="C20" i="1" s="1"/>
  <c r="G28" i="2"/>
  <c r="G30" i="2" s="1"/>
  <c r="G25" i="2"/>
  <c r="G27" i="2" s="1"/>
  <c r="O20" i="2"/>
  <c r="S20" i="2"/>
  <c r="C20" i="3"/>
  <c r="K25" i="3"/>
  <c r="K27" i="3" s="1"/>
  <c r="K28" i="3"/>
  <c r="K30" i="3" s="1"/>
  <c r="K20" i="2"/>
  <c r="K20" i="1"/>
  <c r="W20" i="2"/>
  <c r="G20" i="3"/>
  <c r="O18" i="1"/>
  <c r="O20" i="1" s="1"/>
  <c r="O18" i="3"/>
  <c r="O20" i="3" s="1"/>
  <c r="S19" i="1"/>
  <c r="S20" i="1" s="1"/>
  <c r="S19" i="3"/>
  <c r="S20" i="3" s="1"/>
  <c r="C19" i="2"/>
  <c r="C20" i="2" s="1"/>
  <c r="W19" i="1"/>
  <c r="W20" i="1" s="1"/>
  <c r="K19" i="2"/>
  <c r="W18" i="3"/>
  <c r="W20" i="3" s="1"/>
  <c r="W28" i="1" l="1"/>
  <c r="W30" i="1" s="1"/>
  <c r="W25" i="1"/>
  <c r="W27" i="1" s="1"/>
  <c r="C28" i="2"/>
  <c r="C30" i="2" s="1"/>
  <c r="C25" i="2"/>
  <c r="C27" i="2" s="1"/>
  <c r="S25" i="3"/>
  <c r="S27" i="3" s="1"/>
  <c r="S28" i="3"/>
  <c r="S30" i="3" s="1"/>
  <c r="S28" i="1"/>
  <c r="S30" i="1" s="1"/>
  <c r="S25" i="1"/>
  <c r="S27" i="1" s="1"/>
  <c r="C25" i="3"/>
  <c r="C27" i="3" s="1"/>
  <c r="C28" i="3"/>
  <c r="C30" i="3" s="1"/>
  <c r="S25" i="2"/>
  <c r="S27" i="2" s="1"/>
  <c r="S28" i="2"/>
  <c r="S30" i="2" s="1"/>
  <c r="G25" i="1"/>
  <c r="G28" i="1"/>
  <c r="G30" i="1" s="1"/>
  <c r="O25" i="3"/>
  <c r="O27" i="3" s="1"/>
  <c r="O28" i="3"/>
  <c r="O30" i="3" s="1"/>
  <c r="O28" i="2"/>
  <c r="O30" i="2" s="1"/>
  <c r="O25" i="2"/>
  <c r="O27" i="2" s="1"/>
  <c r="W25" i="3"/>
  <c r="W27" i="3" s="1"/>
  <c r="W28" i="3"/>
  <c r="W30" i="3" s="1"/>
  <c r="K28" i="2"/>
  <c r="K30" i="2" s="1"/>
  <c r="K25" i="2"/>
  <c r="K27" i="2" s="1"/>
  <c r="O25" i="1"/>
  <c r="O27" i="1" s="1"/>
  <c r="O28" i="1"/>
  <c r="O30" i="1" s="1"/>
  <c r="C25" i="1"/>
  <c r="C28" i="1"/>
  <c r="C30" i="1" s="1"/>
  <c r="G25" i="3"/>
  <c r="G27" i="3" s="1"/>
  <c r="G28" i="3"/>
  <c r="G30" i="3" s="1"/>
  <c r="W28" i="2"/>
  <c r="W30" i="2" s="1"/>
  <c r="W25" i="2"/>
  <c r="W27" i="2" s="1"/>
  <c r="K25" i="1"/>
  <c r="K27" i="1" s="1"/>
  <c r="K28" i="1"/>
  <c r="K30" i="1" s="1"/>
  <c r="G27" i="1" l="1"/>
  <c r="G26" i="1"/>
  <c r="C27" i="1"/>
  <c r="C26" i="1"/>
</calcChain>
</file>

<file path=xl/sharedStrings.xml><?xml version="1.0" encoding="utf-8"?>
<sst xmlns="http://schemas.openxmlformats.org/spreadsheetml/2006/main" count="316" uniqueCount="114">
  <si>
    <t>METER TEST PROVING RECORD</t>
  </si>
  <si>
    <t>Date of Test</t>
  </si>
  <si>
    <t>Last Test Date</t>
  </si>
  <si>
    <t>Shell</t>
  </si>
  <si>
    <t>Location</t>
  </si>
  <si>
    <t>Address</t>
  </si>
  <si>
    <t>Product</t>
  </si>
  <si>
    <t>Thruput Since Last Test</t>
  </si>
  <si>
    <t>Product Gravity</t>
  </si>
  <si>
    <t>Shell Temp</t>
  </si>
  <si>
    <t>Correction Factor</t>
  </si>
  <si>
    <t>Meter Make</t>
  </si>
  <si>
    <t>Model #</t>
  </si>
  <si>
    <t>Size</t>
  </si>
  <si>
    <t>Meter ID#</t>
  </si>
  <si>
    <t>Last Test Totalizer</t>
  </si>
  <si>
    <t>This Test</t>
  </si>
  <si>
    <t xml:space="preserve">This Test </t>
  </si>
  <si>
    <t>Prover Serial #</t>
  </si>
  <si>
    <t>Prover Size</t>
  </si>
  <si>
    <t>Finish</t>
  </si>
  <si>
    <t>Start</t>
  </si>
  <si>
    <t>RUN#</t>
  </si>
  <si>
    <t>FLOW RATE</t>
  </si>
  <si>
    <t xml:space="preserve">A)  PROVER TANK READING </t>
  </si>
  <si>
    <t>B)  PROVER TEMPS  Top / Mid / Bot</t>
  </si>
  <si>
    <t>C)  AVERAGE PROVER TEMP</t>
  </si>
  <si>
    <t>D)  CTS METAL FACT.</t>
  </si>
  <si>
    <t>E)  CTL (TABLE 6-B)</t>
  </si>
  <si>
    <t>F)  NET PROVER READING</t>
  </si>
  <si>
    <t>G)  METERED AMOUNT</t>
  </si>
  <si>
    <t>H)  INVOICE TEMP.</t>
  </si>
  <si>
    <t xml:space="preserve">I)  CTL (TABLE 6-B) </t>
  </si>
  <si>
    <t>J)  NET METER READING</t>
  </si>
  <si>
    <t>K)  NET ERROR GALS.</t>
  </si>
  <si>
    <t>L)  METER ERROR %</t>
  </si>
  <si>
    <t>M)  CUBIC INCHES</t>
  </si>
  <si>
    <t>N)  PRESENT METER FACTOR</t>
  </si>
  <si>
    <t>O)  PRESENT METER FACTOR</t>
  </si>
  <si>
    <t>P)  NEW METER FACTOR</t>
  </si>
  <si>
    <t>METER SEAL #:</t>
  </si>
  <si>
    <t>COMMENTS:</t>
  </si>
  <si>
    <t xml:space="preserve">Performed By: </t>
  </si>
  <si>
    <t>Factor goes DOWN to bring product UP</t>
  </si>
  <si>
    <t>Factor goes UP to bring product DOWN</t>
  </si>
  <si>
    <t>NET PROVER READING  =  (A * D * E)</t>
  </si>
  <si>
    <t>NET METER READING  =    (G * I)</t>
  </si>
  <si>
    <t>NET ERROR GALLONS  =   (F - J)</t>
  </si>
  <si>
    <t>METER ERROR %  =   (K / J) * 100</t>
  </si>
  <si>
    <t>CUBIC = (K * 231)</t>
  </si>
  <si>
    <t>PRESENT METER  FACTOR =  (F / J)</t>
  </si>
  <si>
    <t xml:space="preserve">PRESENT  "K" FACTOR =  1st RUN - RETRIEVE FROM METER  </t>
  </si>
  <si>
    <t>NEW  "K" FACTOR = 1st RUN - (N * O) -- 2nd RUN - THIS #</t>
  </si>
  <si>
    <t>BECOMES PRES. "K" FACTOR.   Note: Check w/ Meter</t>
  </si>
  <si>
    <t>Manufacturer on Method for Determining K (Meter) Factor.</t>
  </si>
  <si>
    <t xml:space="preserve">METER PROVING TEST RECORD WORKSHEET INSTRUCTIONS. </t>
  </si>
  <si>
    <t>* Please ensure the top of the document is filled in completely.  Date of Test, Date of Last Test, Location, Plant,</t>
  </si>
  <si>
    <t>Product, Thruput Since Last Test, Product Gravity, Meter Make, Model #, Size, Serial #, Meter #, Last Test Totalizer</t>
  </si>
  <si>
    <t>Finish, This Test Start, Finish, Prover Serial #, Prover Size, Flow rate, Run #, Meter Serial # - Before/After, Wet Down-</t>
  </si>
  <si>
    <t>Meter ID#, Comments, Signature, Maintenance Supervisor's Signature.</t>
  </si>
  <si>
    <t>*  When performing the initial 'Wet Down' meter proving run, the meter identification number must be written on the</t>
  </si>
  <si>
    <t>Meter Proving Test Record.  The 'Wet Down' run does not count toward REPEATABILITY.  In addition, the Prover Can</t>
  </si>
  <si>
    <t>does not have to be 'Wet Down' again if changing meters/products during the same calibration.</t>
  </si>
  <si>
    <t>*  REPEATABILITY must occur within two consecutive meter proving runs with a meter factor between 0.9995 and</t>
  </si>
  <si>
    <t>1.0005.The difference between the two consecutive runs (if within the meter factor parameters) can not be greater than</t>
  </si>
  <si>
    <t>0.0005 AND the average of these two runs are within 0.0010 of the previous proving factor.</t>
  </si>
  <si>
    <t>Example 1 - If Meter Factor for the 1st run is 0.9998 and the Meter Factor for the 2nd run is 1.0001, then this is within</t>
  </si>
  <si>
    <t>tolerance.</t>
  </si>
  <si>
    <t>Example 2-If Meter Factor for the 1st run is 0.9995 and the Meter Factor for the 2nd run is 1.0004 than this is outside</t>
  </si>
  <si>
    <t>of tolerance even though it is within the acceptable parameters because the difference between the two meter factors</t>
  </si>
  <si>
    <t>is greater than 0.0005.</t>
  </si>
  <si>
    <t>*  Category Definitions / Calculations:</t>
  </si>
  <si>
    <t>A - Prover Tank Reading - Prover Tank gross gallons reading.</t>
  </si>
  <si>
    <t>B - Prover Temperatures (Top/Middle/Bottom) - three independent temperatures secured from the top, middle and</t>
  </si>
  <si>
    <t>bottom of the Prover Tank.</t>
  </si>
  <si>
    <t>C - Average Prover Temperature - Line B's three independent temperatures added together and divided by three to get</t>
  </si>
  <si>
    <t>an average temperature for the Prover Tank.</t>
  </si>
  <si>
    <t>D -CTS Metal Factor -Retrieve 'Tank Temperature Correction Factor Table'.  Using the 'Average Prover Temperature' on</t>
  </si>
  <si>
    <t>line C, write in the metal factor from the chart.</t>
  </si>
  <si>
    <t>E-CTL (Table 6-B) - Based on the API Table 6B (to convert to 60 degrees) secure factor based on the 'Average Prover</t>
  </si>
  <si>
    <t>Temperature' on line C  that are listed down the sides of Table 6B and for the Product Gravity listed across the top of</t>
  </si>
  <si>
    <t>Table 6B.  Place the results on line E.</t>
  </si>
  <si>
    <t>F - Net Prover Reading - Multiply the results on line A times line D times line E.  Put the final result on line F.</t>
  </si>
  <si>
    <t>G - Metered Amount  - enter the Metered Amount.</t>
  </si>
  <si>
    <t>H - Invoice Temperature - Retrieve the temperature of the stream from the product invoice.</t>
  </si>
  <si>
    <t>I - CTL (Table 6-B) - Based on the API Table 6B (to convert to 60 degrees) secure factor based on the 'Invoice</t>
  </si>
  <si>
    <t xml:space="preserve">Temperature' that are listed down the sides of Table 6B and for the Product Gravity listed across the top of Table 6B. </t>
  </si>
  <si>
    <t>Place the result on line I</t>
  </si>
  <si>
    <t xml:space="preserve">J - Net Meter Reading - Multiply the result on line G times the result on line I.  Put the final result on line J. </t>
  </si>
  <si>
    <t>K - Net Error Gallons - Subtract the result on line J from line F.  Put the final result on line K.  This number can be</t>
  </si>
  <si>
    <t>negative.</t>
  </si>
  <si>
    <t>L - Meter Error % - Divide the result on line K by the result on line J, then multiply this number by 100 to get a</t>
  </si>
  <si>
    <t>percentage.  Enter the final result on line L.</t>
  </si>
  <si>
    <t>M -Cubic Inches - Multiply the result on line K by 231.  Place the result on line M.</t>
  </si>
  <si>
    <t>N - Present Meter Factor - Divide the result on line F by the result on line J.  Put the resulting 'factor' on line N. (See</t>
  </si>
  <si>
    <t>Note on Line P)</t>
  </si>
  <si>
    <t>O-Present "K" Factor - the 1st run this number comes from the meter that is being 'proved.  Place the result on line O.</t>
  </si>
  <si>
    <t xml:space="preserve">P - New "K" Factor - the 1st run multiply the result on line N times the result on line O.  Place the result on line O. </t>
  </si>
  <si>
    <t>The 2nd plus runs, this number becomes the "Present 'K' Factor" on line O.  Note: Check with the Meter</t>
  </si>
  <si>
    <t>Manufacture to determine New K (Meter) Factor.  Depending on the meter, an inverse function of the</t>
  </si>
  <si>
    <t>Present Meter Factor  may be required to obtain the K factor.</t>
  </si>
  <si>
    <t>Plant</t>
  </si>
  <si>
    <t>O)  PRESENT  "K" FACTOR</t>
  </si>
  <si>
    <t>P)  NEW "K" FACTOR</t>
  </si>
  <si>
    <t>Smith</t>
  </si>
  <si>
    <t xml:space="preserve">F4S1 </t>
  </si>
  <si>
    <t>4"</t>
  </si>
  <si>
    <t>Serial#</t>
  </si>
  <si>
    <t>KM-107556</t>
  </si>
  <si>
    <t>L1A2</t>
  </si>
  <si>
    <t>Chelsea Global</t>
  </si>
  <si>
    <t>ULSD</t>
  </si>
  <si>
    <t>281 Eastern Ave, Chelsea, MA 02150</t>
  </si>
  <si>
    <t>1000 Gallons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</si>
</sst>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"/>
    <numFmt numFmtId="165" formatCode="[$-409]m/d/yyyy"/>
    <numFmt numFmtId="166" formatCode="0.00000"/>
    <numFmt numFmtId="167" formatCode="0.000000"/>
    <numFmt numFmtId="168" formatCode="0.000"/>
    <numFmt numFmtId="169" formatCode="0.0000"/>
  </numFmts>
  <fonts count="21" x14ac:knownFonts="1">
    <font>
      <sz val="10"/>
      <name val="Arial"/>
      <charset val="1"/>
    </font>
    <font>
      <sz val="12"/>
      <name val="Arial"/>
      <charset val="1"/>
    </font>
    <font>
      <b/>
      <i/>
      <u/>
      <sz val="2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0000FF"/>
      <name val="Arial"/>
      <family val="2"/>
      <charset val="1"/>
    </font>
    <font>
      <sz val="10"/>
      <color rgb="FF0000FF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i/>
      <sz val="10"/>
      <name val="Arial"/>
      <family val="2"/>
      <charset val="1"/>
    </font>
    <font>
      <b/>
      <sz val="9"/>
      <name val="Arial"/>
      <family val="2"/>
      <charset val="1"/>
    </font>
    <font>
      <b/>
      <sz val="9"/>
      <color rgb="FF0000FF"/>
      <name val="Arial"/>
      <family val="2"/>
      <charset val="1"/>
    </font>
    <font>
      <sz val="8"/>
      <name val="Arial"/>
      <family val="2"/>
      <charset val="1"/>
    </font>
    <font>
      <sz val="8"/>
      <color rgb="FF000000"/>
      <name val="Arial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8"/>
      <name val="Arial"/>
      <family val="2"/>
      <charset val="1"/>
    </font>
    <font>
      <b/>
      <sz val="8"/>
      <color rgb="FF0000FF"/>
      <name val="Arial"/>
      <family val="2"/>
      <charset val="1"/>
    </font>
    <font>
      <b/>
      <i/>
      <sz val="8"/>
      <color rgb="FF0000FF"/>
      <name val="Arial"/>
      <family val="2"/>
      <charset val="1"/>
    </font>
    <font>
      <sz val="10"/>
      <color rgb="FFFF0000"/>
      <name val="Arial"/>
      <family val="2"/>
      <charset val="1"/>
    </font>
    <font>
      <b/>
      <i/>
      <u/>
      <sz val="10"/>
      <name val="Arial"/>
      <family val="2"/>
      <charset val="1"/>
    </font>
    <font>
      <sz val="12"/>
      <name val="Comic Sans MS"/>
      <charset val="1"/>
    </font>
    <font>
      <b/>
      <i/>
      <u/>
      <sz val="14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CC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</fills>
  <borders count="3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22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Protection="1">
      <protection locked="0"/>
    </xf>
    <xf numFmtId="0" fontId="0" fillId="0" borderId="0" xfId="0" applyAlignment="1">
      <alignment horizontal="left"/>
    </xf>
    <xf numFmtId="0" fontId="3" fillId="0" borderId="4" xfId="0" applyFont="1" applyBorder="1" applyAlignment="1">
      <alignment horizontal="right" vertical="center"/>
    </xf>
    <xf numFmtId="0" fontId="3" fillId="0" borderId="6" xfId="0" applyFont="1" applyBorder="1"/>
    <xf numFmtId="0" fontId="4" fillId="0" borderId="8" xfId="0" applyFont="1" applyBorder="1"/>
    <xf numFmtId="0" fontId="3" fillId="0" borderId="8" xfId="0" applyFont="1" applyBorder="1"/>
    <xf numFmtId="0" fontId="5" fillId="0" borderId="8" xfId="0" applyFont="1" applyBorder="1"/>
    <xf numFmtId="0" fontId="5" fillId="0" borderId="7" xfId="0" applyFont="1" applyBorder="1"/>
    <xf numFmtId="0" fontId="3" fillId="0" borderId="9" xfId="0" applyFont="1" applyBorder="1" applyAlignment="1">
      <alignment horizontal="right"/>
    </xf>
    <xf numFmtId="0" fontId="3" fillId="0" borderId="9" xfId="0" applyFont="1" applyBorder="1"/>
    <xf numFmtId="0" fontId="4" fillId="0" borderId="1" xfId="0" applyFont="1" applyBorder="1"/>
    <xf numFmtId="0" fontId="4" fillId="0" borderId="9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10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6" fillId="0" borderId="0" xfId="0" applyFont="1" applyAlignment="1" applyProtection="1">
      <alignment horizontal="right"/>
      <protection locked="0"/>
    </xf>
    <xf numFmtId="0" fontId="0" fillId="0" borderId="0" xfId="0" applyProtection="1">
      <protection locked="0"/>
    </xf>
    <xf numFmtId="0" fontId="5" fillId="0" borderId="8" xfId="0" applyFont="1" applyBorder="1" applyProtection="1">
      <protection locked="0"/>
    </xf>
    <xf numFmtId="0" fontId="5" fillId="0" borderId="1" xfId="0" applyFont="1" applyBorder="1" applyProtection="1">
      <protection locked="0"/>
    </xf>
    <xf numFmtId="169" fontId="5" fillId="0" borderId="1" xfId="0" applyNumberFormat="1" applyFont="1" applyBorder="1" applyProtection="1">
      <protection locked="0"/>
    </xf>
    <xf numFmtId="0" fontId="12" fillId="0" borderId="0" xfId="0" applyFont="1" applyProtection="1">
      <protection locked="0"/>
    </xf>
    <xf numFmtId="0" fontId="12" fillId="0" borderId="0" xfId="0" applyFont="1"/>
    <xf numFmtId="0" fontId="12" fillId="0" borderId="23" xfId="0" applyFont="1" applyBorder="1" applyProtection="1">
      <protection locked="0"/>
    </xf>
    <xf numFmtId="0" fontId="12" fillId="0" borderId="25" xfId="0" applyFont="1" applyBorder="1" applyProtection="1">
      <protection locked="0"/>
    </xf>
    <xf numFmtId="0" fontId="12" fillId="0" borderId="25" xfId="0" applyFont="1" applyBorder="1"/>
    <xf numFmtId="0" fontId="12" fillId="0" borderId="26" xfId="0" applyFont="1" applyBorder="1" applyProtection="1">
      <protection locked="0"/>
    </xf>
    <xf numFmtId="0" fontId="0" fillId="0" borderId="27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29" xfId="0" applyBorder="1" applyProtection="1">
      <protection locked="0"/>
    </xf>
    <xf numFmtId="0" fontId="0" fillId="0" borderId="30" xfId="0" applyBorder="1" applyProtection="1">
      <protection locked="0"/>
    </xf>
    <xf numFmtId="0" fontId="7" fillId="0" borderId="0" xfId="0" applyFont="1"/>
    <xf numFmtId="0" fontId="3" fillId="0" borderId="0" xfId="0" applyFont="1" applyAlignment="1">
      <alignment horizontal="left"/>
    </xf>
    <xf numFmtId="0" fontId="19" fillId="0" borderId="0" xfId="0" applyFont="1"/>
    <xf numFmtId="0" fontId="20" fillId="0" borderId="0" xfId="0" applyFont="1"/>
    <xf numFmtId="0" fontId="6" fillId="0" borderId="6" xfId="0" applyFont="1" applyBorder="1"/>
    <xf numFmtId="0" fontId="6" fillId="0" borderId="8" xfId="0" applyFont="1" applyBorder="1"/>
    <xf numFmtId="0" fontId="6" fillId="0" borderId="7" xfId="0" applyFont="1" applyBorder="1"/>
    <xf numFmtId="0" fontId="3" fillId="4" borderId="6" xfId="0" applyFont="1" applyFill="1" applyBorder="1"/>
    <xf numFmtId="0" fontId="4" fillId="4" borderId="8" xfId="0" applyFont="1" applyFill="1" applyBorder="1"/>
    <xf numFmtId="0" fontId="5" fillId="4" borderId="8" xfId="0" applyFont="1" applyFill="1" applyBorder="1"/>
    <xf numFmtId="0" fontId="5" fillId="4" borderId="7" xfId="0" applyFont="1" applyFill="1" applyBorder="1"/>
    <xf numFmtId="0" fontId="3" fillId="0" borderId="4" xfId="0" applyFont="1" applyBorder="1"/>
    <xf numFmtId="0" fontId="4" fillId="0" borderId="20" xfId="0" applyFont="1" applyBorder="1"/>
    <xf numFmtId="0" fontId="4" fillId="0" borderId="20" xfId="0" applyFont="1" applyBorder="1" applyProtection="1">
      <protection locked="0"/>
    </xf>
    <xf numFmtId="0" fontId="4" fillId="0" borderId="8" xfId="0" applyFont="1" applyBorder="1" applyProtection="1">
      <protection locked="0"/>
    </xf>
    <xf numFmtId="0" fontId="4" fillId="0" borderId="7" xfId="0" applyFont="1" applyBorder="1" applyProtection="1">
      <protection locked="0"/>
    </xf>
    <xf numFmtId="0" fontId="7" fillId="0" borderId="12" xfId="0" applyFont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left" wrapText="1"/>
    </xf>
    <xf numFmtId="0" fontId="9" fillId="0" borderId="16" xfId="0" applyFont="1" applyBorder="1" applyAlignment="1">
      <alignment horizontal="left" wrapText="1"/>
    </xf>
    <xf numFmtId="0" fontId="3" fillId="7" borderId="16" xfId="0" applyFont="1" applyFill="1" applyBorder="1" applyAlignment="1" applyProtection="1">
      <alignment horizontal="center"/>
      <protection locked="0"/>
    </xf>
    <xf numFmtId="0" fontId="3" fillId="7" borderId="16" xfId="0" applyFont="1" applyFill="1" applyBorder="1" applyProtection="1">
      <protection locked="0"/>
    </xf>
    <xf numFmtId="0" fontId="3" fillId="7" borderId="4" xfId="0" applyFont="1" applyFill="1" applyBorder="1" applyProtection="1">
      <protection locked="0"/>
    </xf>
    <xf numFmtId="0" fontId="10" fillId="0" borderId="16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4" fillId="0" borderId="16" xfId="0" applyFont="1" applyBorder="1" applyAlignment="1">
      <alignment wrapText="1"/>
    </xf>
    <xf numFmtId="0" fontId="10" fillId="0" borderId="17" xfId="0" applyFont="1" applyBorder="1" applyAlignment="1">
      <alignment wrapText="1"/>
    </xf>
    <xf numFmtId="0" fontId="14" fillId="5" borderId="3" xfId="0" applyFont="1" applyFill="1" applyBorder="1" applyAlignment="1">
      <alignment wrapText="1"/>
    </xf>
    <xf numFmtId="0" fontId="15" fillId="4" borderId="16" xfId="0" applyFont="1" applyFill="1" applyBorder="1" applyAlignment="1">
      <alignment wrapText="1"/>
    </xf>
    <xf numFmtId="0" fontId="14" fillId="5" borderId="16" xfId="0" applyFont="1" applyFill="1" applyBorder="1" applyAlignment="1">
      <alignment wrapText="1"/>
    </xf>
    <xf numFmtId="0" fontId="16" fillId="0" borderId="0" xfId="0" applyFont="1" applyAlignment="1" applyProtection="1">
      <alignment horizontal="left"/>
      <protection locked="0"/>
    </xf>
    <xf numFmtId="0" fontId="5" fillId="0" borderId="20" xfId="0" applyFont="1" applyBorder="1" applyProtection="1">
      <protection locked="0"/>
    </xf>
    <xf numFmtId="168" fontId="5" fillId="0" borderId="20" xfId="0" applyNumberFormat="1" applyFont="1" applyBorder="1" applyAlignment="1" applyProtection="1">
      <alignment horizontal="left"/>
      <protection locked="0"/>
    </xf>
    <xf numFmtId="0" fontId="17" fillId="0" borderId="22" xfId="0" applyFont="1" applyBorder="1" applyProtection="1">
      <protection locked="0"/>
    </xf>
    <xf numFmtId="0" fontId="17" fillId="0" borderId="24" xfId="0" applyFont="1" applyBorder="1" applyProtection="1">
      <protection locked="0"/>
    </xf>
    <xf numFmtId="166" fontId="0" fillId="0" borderId="0" xfId="0" applyNumberFormat="1" applyAlignment="1">
      <alignment horizontal="center"/>
    </xf>
    <xf numFmtId="0" fontId="0" fillId="0" borderId="0" xfId="0"/>
    <xf numFmtId="0" fontId="4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166" fontId="4" fillId="2" borderId="4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" fillId="0" borderId="2" xfId="0" applyFont="1" applyBorder="1" applyAlignment="1">
      <alignment horizontal="center"/>
    </xf>
    <xf numFmtId="0" fontId="0" fillId="0" borderId="8" xfId="0" applyBorder="1"/>
    <xf numFmtId="0" fontId="0" fillId="0" borderId="7" xfId="0" applyBorder="1"/>
    <xf numFmtId="166" fontId="4" fillId="2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5" xfId="0" applyBorder="1" applyProtection="1">
      <protection locked="0"/>
    </xf>
    <xf numFmtId="0" fontId="4" fillId="3" borderId="13" xfId="0" applyFont="1" applyFill="1" applyBorder="1" applyAlignment="1" applyProtection="1">
      <alignment horizontal="center" vertical="center"/>
      <protection locked="0"/>
    </xf>
    <xf numFmtId="0" fontId="0" fillId="0" borderId="34" xfId="0" applyBorder="1" applyProtection="1">
      <protection locked="0"/>
    </xf>
    <xf numFmtId="0" fontId="0" fillId="0" borderId="35" xfId="0" applyBorder="1" applyProtection="1">
      <protection locked="0"/>
    </xf>
    <xf numFmtId="166" fontId="12" fillId="0" borderId="16" xfId="0" applyNumberFormat="1" applyFont="1" applyBorder="1" applyAlignment="1" applyProtection="1">
      <alignment horizontal="center" vertical="center"/>
      <protection locked="0"/>
    </xf>
    <xf numFmtId="169" fontId="0" fillId="0" borderId="0" xfId="0" applyNumberFormat="1" applyAlignment="1">
      <alignment horizontal="center"/>
    </xf>
    <xf numFmtId="166" fontId="5" fillId="0" borderId="0" xfId="0" applyNumberFormat="1" applyFont="1" applyAlignment="1" applyProtection="1">
      <alignment horizontal="center"/>
      <protection locked="0"/>
    </xf>
    <xf numFmtId="168" fontId="12" fillId="0" borderId="16" xfId="0" applyNumberFormat="1" applyFont="1" applyBorder="1" applyAlignment="1">
      <alignment horizontal="center" vertical="center"/>
    </xf>
    <xf numFmtId="0" fontId="0" fillId="0" borderId="20" xfId="0" applyBorder="1"/>
    <xf numFmtId="0" fontId="0" fillId="0" borderId="5" xfId="0" applyBorder="1"/>
    <xf numFmtId="169" fontId="0" fillId="0" borderId="16" xfId="0" applyNumberForma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167" fontId="13" fillId="0" borderId="0" xfId="0" applyNumberFormat="1" applyFont="1" applyAlignment="1">
      <alignment horizontal="center"/>
    </xf>
    <xf numFmtId="169" fontId="0" fillId="0" borderId="4" xfId="0" applyNumberForma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4" fillId="0" borderId="7" xfId="0" applyFont="1" applyBorder="1" applyAlignment="1" applyProtection="1">
      <alignment horizontal="left"/>
      <protection locked="0"/>
    </xf>
    <xf numFmtId="0" fontId="0" fillId="0" borderId="8" xfId="0" applyBorder="1" applyProtection="1">
      <protection locked="0"/>
    </xf>
    <xf numFmtId="0" fontId="0" fillId="0" borderId="7" xfId="0" applyBorder="1" applyProtection="1">
      <protection locked="0"/>
    </xf>
    <xf numFmtId="0" fontId="3" fillId="3" borderId="16" xfId="0" applyFont="1" applyFill="1" applyBorder="1" applyAlignment="1" applyProtection="1">
      <alignment horizontal="center" vertical="center"/>
      <protection locked="0"/>
    </xf>
    <xf numFmtId="0" fontId="3" fillId="0" borderId="4" xfId="0" applyFont="1" applyBorder="1" applyAlignment="1">
      <alignment horizontal="right" vertical="center"/>
    </xf>
    <xf numFmtId="0" fontId="3" fillId="0" borderId="0" xfId="0" applyFont="1" applyAlignment="1" applyProtection="1">
      <alignment horizontal="right"/>
      <protection locked="0"/>
    </xf>
    <xf numFmtId="0" fontId="4" fillId="0" borderId="5" xfId="0" applyFont="1" applyBorder="1" applyAlignment="1" applyProtection="1">
      <alignment horizontal="left" vertical="center"/>
      <protection locked="0"/>
    </xf>
    <xf numFmtId="166" fontId="0" fillId="0" borderId="16" xfId="0" applyNumberFormat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169" fontId="12" fillId="0" borderId="16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3" fillId="0" borderId="0" xfId="0" applyFont="1" applyAlignment="1">
      <alignment horizontal="right"/>
    </xf>
    <xf numFmtId="0" fontId="3" fillId="0" borderId="15" xfId="0" applyFont="1" applyBorder="1" applyAlignment="1">
      <alignment horizontal="center" vertical="center"/>
    </xf>
    <xf numFmtId="0" fontId="0" fillId="0" borderId="36" xfId="0" applyBorder="1"/>
    <xf numFmtId="0" fontId="3" fillId="0" borderId="14" xfId="0" applyFont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7" fillId="0" borderId="0" xfId="0" applyFont="1" applyAlignment="1">
      <alignment horizontal="center"/>
    </xf>
    <xf numFmtId="164" fontId="4" fillId="0" borderId="0" xfId="0" applyNumberFormat="1" applyFont="1" applyAlignment="1" applyProtection="1">
      <alignment horizontal="center"/>
      <protection locked="0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165" fontId="3" fillId="0" borderId="1" xfId="0" applyNumberFormat="1" applyFont="1" applyBorder="1" applyAlignment="1" applyProtection="1">
      <alignment horizontal="left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0" fillId="0" borderId="25" xfId="0" applyBorder="1" applyProtection="1">
      <protection locked="0"/>
    </xf>
    <xf numFmtId="0" fontId="0" fillId="0" borderId="10" xfId="0" applyBorder="1" applyProtection="1">
      <protection locked="0"/>
    </xf>
    <xf numFmtId="3" fontId="4" fillId="0" borderId="3" xfId="0" applyNumberFormat="1" applyFont="1" applyBorder="1" applyAlignment="1" applyProtection="1">
      <alignment horizontal="center" vertical="center" wrapText="1"/>
      <protection locked="0"/>
    </xf>
    <xf numFmtId="0" fontId="0" fillId="0" borderId="31" xfId="0" applyBorder="1" applyProtection="1"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4" fillId="0" borderId="19" xfId="0" applyFont="1" applyBorder="1" applyAlignment="1" applyProtection="1">
      <alignment horizontal="center"/>
      <protection locked="0"/>
    </xf>
    <xf numFmtId="0" fontId="4" fillId="0" borderId="7" xfId="0" applyFont="1" applyBorder="1" applyAlignment="1">
      <alignment horizontal="left"/>
    </xf>
    <xf numFmtId="168" fontId="12" fillId="0" borderId="4" xfId="0" applyNumberFormat="1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0" fontId="18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66" fontId="12" fillId="0" borderId="4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12" fillId="0" borderId="21" xfId="0" applyFont="1" applyBorder="1" applyAlignment="1" applyProtection="1">
      <alignment horizontal="left" vertical="top"/>
      <protection locked="0"/>
    </xf>
    <xf numFmtId="0" fontId="0" fillId="0" borderId="32" xfId="0" applyBorder="1" applyProtection="1">
      <protection locked="0"/>
    </xf>
    <xf numFmtId="0" fontId="0" fillId="0" borderId="33" xfId="0" applyBorder="1" applyProtection="1">
      <protection locked="0"/>
    </xf>
    <xf numFmtId="0" fontId="0" fillId="0" borderId="22" xfId="0" applyBorder="1" applyProtection="1">
      <protection locked="0"/>
    </xf>
    <xf numFmtId="0" fontId="0" fillId="0" borderId="23" xfId="0" applyBorder="1" applyProtection="1">
      <protection locked="0"/>
    </xf>
    <xf numFmtId="2" fontId="0" fillId="0" borderId="17" xfId="0" applyNumberFormat="1" applyBorder="1" applyAlignment="1">
      <alignment horizontal="center" vertical="center"/>
    </xf>
    <xf numFmtId="0" fontId="0" fillId="0" borderId="37" xfId="0" applyBorder="1"/>
    <xf numFmtId="0" fontId="0" fillId="0" borderId="38" xfId="0" applyBorder="1"/>
    <xf numFmtId="166" fontId="3" fillId="3" borderId="4" xfId="0" applyNumberFormat="1" applyFont="1" applyFill="1" applyBorder="1" applyAlignment="1" applyProtection="1">
      <alignment horizontal="center" vertical="center"/>
      <protection locked="0"/>
    </xf>
    <xf numFmtId="2" fontId="0" fillId="0" borderId="18" xfId="0" applyNumberFormat="1" applyBorder="1" applyAlignment="1">
      <alignment horizontal="center" vertical="center"/>
    </xf>
    <xf numFmtId="0" fontId="4" fillId="3" borderId="15" xfId="0" applyFont="1" applyFill="1" applyBorder="1" applyAlignment="1" applyProtection="1">
      <alignment horizontal="center" vertical="center"/>
      <protection locked="0"/>
    </xf>
    <xf numFmtId="0" fontId="0" fillId="0" borderId="36" xfId="0" applyBorder="1" applyProtection="1"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168" fontId="0" fillId="0" borderId="0" xfId="0" applyNumberFormat="1" applyAlignment="1">
      <alignment horizontal="center"/>
    </xf>
    <xf numFmtId="0" fontId="4" fillId="0" borderId="5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166" fontId="3" fillId="3" borderId="16" xfId="0" applyNumberFormat="1" applyFont="1" applyFill="1" applyBorder="1" applyAlignment="1" applyProtection="1">
      <alignment horizontal="center" vertical="center"/>
      <protection locked="0"/>
    </xf>
    <xf numFmtId="0" fontId="16" fillId="0" borderId="8" xfId="0" applyFont="1" applyBorder="1" applyAlignment="1" applyProtection="1">
      <alignment horizontal="right"/>
      <protection locked="0"/>
    </xf>
    <xf numFmtId="0" fontId="4" fillId="0" borderId="20" xfId="0" applyFont="1" applyBorder="1" applyAlignment="1" applyProtection="1">
      <alignment horizontal="left"/>
      <protection locked="0"/>
    </xf>
    <xf numFmtId="0" fontId="4" fillId="3" borderId="12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2" fontId="0" fillId="0" borderId="4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0" fontId="4" fillId="0" borderId="11" xfId="0" applyFont="1" applyBorder="1" applyAlignment="1" applyProtection="1">
      <alignment horizontal="center"/>
      <protection locked="0"/>
    </xf>
    <xf numFmtId="0" fontId="3" fillId="0" borderId="12" xfId="0" applyFont="1" applyBorder="1" applyAlignment="1">
      <alignment horizontal="center" vertical="center"/>
    </xf>
    <xf numFmtId="0" fontId="17" fillId="0" borderId="24" xfId="0" applyFont="1" applyBorder="1" applyAlignment="1" applyProtection="1">
      <alignment horizontal="left"/>
      <protection locked="0"/>
    </xf>
    <xf numFmtId="169" fontId="3" fillId="3" borderId="16" xfId="0" applyNumberFormat="1" applyFont="1" applyFill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/>
      <protection locked="0"/>
    </xf>
    <xf numFmtId="169" fontId="12" fillId="0" borderId="4" xfId="0" applyNumberFormat="1" applyFont="1" applyBorder="1" applyAlignment="1">
      <alignment horizontal="center" vertical="center"/>
    </xf>
    <xf numFmtId="0" fontId="5" fillId="0" borderId="20" xfId="0" applyFont="1" applyBorder="1" applyAlignment="1" applyProtection="1">
      <alignment horizontal="left"/>
      <protection locked="0"/>
    </xf>
    <xf numFmtId="0" fontId="17" fillId="0" borderId="22" xfId="0" applyFont="1" applyBorder="1" applyAlignment="1" applyProtection="1">
      <alignment horizontal="left"/>
      <protection locked="0"/>
    </xf>
    <xf numFmtId="166" fontId="4" fillId="6" borderId="4" xfId="0" applyNumberFormat="1" applyFont="1" applyFill="1" applyBorder="1" applyAlignment="1" applyProtection="1">
      <alignment horizontal="center"/>
      <protection locked="0"/>
    </xf>
    <xf numFmtId="166" fontId="4" fillId="6" borderId="16" xfId="0" applyNumberFormat="1" applyFont="1" applyFill="1" applyBorder="1" applyAlignment="1" applyProtection="1">
      <alignment horizontal="center"/>
      <protection locked="0"/>
    </xf>
    <xf numFmtId="0" fontId="4" fillId="2" borderId="13" xfId="0" applyFont="1" applyFill="1" applyBorder="1" applyAlignment="1" applyProtection="1">
      <alignment horizontal="center"/>
      <protection locked="0"/>
    </xf>
    <xf numFmtId="166" fontId="12" fillId="0" borderId="16" xfId="0" applyNumberFormat="1" applyFont="1" applyBorder="1" applyAlignment="1" applyProtection="1">
      <alignment horizontal="center"/>
      <protection locked="0"/>
    </xf>
    <xf numFmtId="2" fontId="0" fillId="0" borderId="16" xfId="0" applyNumberFormat="1" applyBorder="1" applyAlignment="1">
      <alignment horizontal="center"/>
    </xf>
    <xf numFmtId="169" fontId="0" fillId="0" borderId="4" xfId="0" applyNumberFormat="1" applyBorder="1" applyAlignment="1">
      <alignment horizontal="center"/>
    </xf>
    <xf numFmtId="164" fontId="4" fillId="0" borderId="1" xfId="0" applyNumberFormat="1" applyFont="1" applyBorder="1" applyAlignment="1" applyProtection="1">
      <alignment horizontal="center"/>
      <protection locked="0"/>
    </xf>
    <xf numFmtId="0" fontId="4" fillId="6" borderId="16" xfId="0" applyFont="1" applyFill="1" applyBorder="1" applyAlignment="1" applyProtection="1">
      <alignment horizontal="center"/>
      <protection locked="0"/>
    </xf>
    <xf numFmtId="0" fontId="4" fillId="6" borderId="9" xfId="0" applyFont="1" applyFill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3" fontId="4" fillId="0" borderId="3" xfId="0" applyNumberFormat="1" applyFont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12" fillId="0" borderId="16" xfId="0" applyFont="1" applyBorder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0" fontId="4" fillId="6" borderId="4" xfId="0" applyFont="1" applyFill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165" fontId="4" fillId="0" borderId="1" xfId="0" applyNumberFormat="1" applyFont="1" applyBorder="1" applyAlignment="1" applyProtection="1">
      <alignment horizontal="center"/>
      <protection locked="0"/>
    </xf>
    <xf numFmtId="168" fontId="12" fillId="0" borderId="16" xfId="0" applyNumberFormat="1" applyFont="1" applyBorder="1" applyAlignment="1">
      <alignment horizontal="center"/>
    </xf>
    <xf numFmtId="169" fontId="0" fillId="0" borderId="16" xfId="0" applyNumberForma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7" borderId="16" xfId="0" applyFont="1" applyFill="1" applyBorder="1" applyAlignment="1" applyProtection="1">
      <alignment horizontal="center"/>
      <protection locked="0"/>
    </xf>
    <xf numFmtId="169" fontId="12" fillId="0" borderId="16" xfId="0" applyNumberFormat="1" applyFont="1" applyBorder="1" applyAlignment="1">
      <alignment horizontal="center"/>
    </xf>
    <xf numFmtId="166" fontId="12" fillId="0" borderId="4" xfId="0" applyNumberFormat="1" applyFont="1" applyBorder="1" applyAlignment="1" applyProtection="1">
      <alignment horizontal="center"/>
      <protection locked="0"/>
    </xf>
    <xf numFmtId="166" fontId="0" fillId="0" borderId="16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166" fontId="3" fillId="3" borderId="4" xfId="0" applyNumberFormat="1" applyFont="1" applyFill="1" applyBorder="1" applyAlignment="1" applyProtection="1">
      <alignment horizontal="center"/>
      <protection locked="0"/>
    </xf>
    <xf numFmtId="2" fontId="0" fillId="0" borderId="18" xfId="0" applyNumberFormat="1" applyBorder="1" applyAlignment="1">
      <alignment horizontal="center"/>
    </xf>
    <xf numFmtId="0" fontId="4" fillId="2" borderId="15" xfId="0" applyFont="1" applyFill="1" applyBorder="1" applyAlignment="1" applyProtection="1">
      <alignment horizontal="center"/>
      <protection locked="0"/>
    </xf>
    <xf numFmtId="0" fontId="4" fillId="6" borderId="3" xfId="0" applyFont="1" applyFill="1" applyBorder="1" applyAlignment="1" applyProtection="1">
      <alignment horizontal="center"/>
      <protection locked="0"/>
    </xf>
    <xf numFmtId="168" fontId="12" fillId="0" borderId="4" xfId="0" applyNumberFormat="1" applyFont="1" applyBorder="1" applyAlignment="1">
      <alignment horizontal="center"/>
    </xf>
    <xf numFmtId="0" fontId="4" fillId="0" borderId="9" xfId="0" applyFont="1" applyBorder="1" applyAlignment="1" applyProtection="1">
      <alignment horizontal="center"/>
      <protection locked="0"/>
    </xf>
    <xf numFmtId="49" fontId="4" fillId="0" borderId="5" xfId="0" applyNumberFormat="1" applyFont="1" applyBorder="1" applyAlignment="1" applyProtection="1">
      <alignment horizontal="center"/>
      <protection locked="0"/>
    </xf>
    <xf numFmtId="0" fontId="20" fillId="0" borderId="0" xfId="0" applyFont="1" applyAlignment="1">
      <alignment horizontal="center"/>
    </xf>
    <xf numFmtId="0" fontId="16" fillId="0" borderId="8" xfId="0" applyFont="1" applyBorder="1" applyAlignment="1" applyProtection="1">
      <alignment horizontal="center"/>
      <protection locked="0"/>
    </xf>
    <xf numFmtId="166" fontId="3" fillId="3" borderId="16" xfId="0" applyNumberFormat="1" applyFont="1" applyFill="1" applyBorder="1" applyAlignment="1" applyProtection="1">
      <alignment horizontal="left" indent="5"/>
      <protection locked="0"/>
    </xf>
    <xf numFmtId="166" fontId="3" fillId="3" borderId="16" xfId="0" applyNumberFormat="1" applyFont="1" applyFill="1" applyBorder="1" applyAlignment="1" applyProtection="1">
      <alignment horizontal="center"/>
      <protection locked="0"/>
    </xf>
    <xf numFmtId="169" fontId="3" fillId="3" borderId="16" xfId="0" applyNumberFormat="1" applyFont="1" applyFill="1" applyBorder="1" applyAlignment="1" applyProtection="1">
      <alignment horizontal="center"/>
      <protection locked="0"/>
    </xf>
    <xf numFmtId="169" fontId="12" fillId="0" borderId="4" xfId="0" applyNumberFormat="1" applyFon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4" fillId="2" borderId="12" xfId="0" applyFont="1" applyFill="1" applyBorder="1" applyAlignment="1" applyProtection="1">
      <alignment horizontal="center"/>
      <protection locked="0"/>
    </xf>
    <xf numFmtId="0" fontId="3" fillId="0" borderId="12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180000</xdr:colOff>
      <xdr:row>0</xdr:row>
      <xdr:rowOff>129600</xdr:rowOff>
    </xdr:from>
    <xdr:to>
      <xdr:col>5</xdr:col>
      <xdr:colOff>556200</xdr:colOff>
      <xdr:row>6</xdr:row>
      <xdr:rowOff>75960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7760" y="129600"/>
          <a:ext cx="2597400" cy="126072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180000</xdr:colOff>
      <xdr:row>0</xdr:row>
      <xdr:rowOff>129600</xdr:rowOff>
    </xdr:from>
    <xdr:to>
      <xdr:col>5</xdr:col>
      <xdr:colOff>556200</xdr:colOff>
      <xdr:row>6</xdr:row>
      <xdr:rowOff>75960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7760" y="129600"/>
          <a:ext cx="2597400" cy="126072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K474"/>
  <sheetViews>
    <sheetView tabSelected="1" topLeftCell="A19" zoomScaleNormal="100" workbookViewId="0">
      <selection activeCell="G30" sqref="G30:J30"/>
    </sheetView>
  </sheetViews>
  <sheetFormatPr defaultColWidth="9" defaultRowHeight="13.2" x14ac:dyDescent="0.25"/>
  <cols>
    <col min="1" max="1" width="3.6640625" customWidth="1"/>
    <col min="2" max="2" width="16.44140625" customWidth="1"/>
    <col min="3" max="3" width="5.6640625" customWidth="1"/>
    <col min="4" max="4" width="4.88671875" customWidth="1"/>
    <col min="5" max="5" width="4.5546875" customWidth="1"/>
    <col min="6" max="6" width="9" customWidth="1"/>
    <col min="7" max="7" width="5.6640625" customWidth="1"/>
    <col min="8" max="8" width="6.44140625" customWidth="1"/>
    <col min="9" max="26" width="5.6640625" customWidth="1"/>
    <col min="27" max="34" width="5.88671875" customWidth="1"/>
    <col min="35" max="38" width="5.5546875" customWidth="1"/>
    <col min="39" max="42" width="5.6640625" customWidth="1"/>
    <col min="62" max="63" width="15.109375" customWidth="1"/>
  </cols>
  <sheetData>
    <row r="1" spans="2:63" ht="12.75" customHeight="1" x14ac:dyDescent="0.25"/>
    <row r="2" spans="2:63" ht="12.75" customHeight="1" x14ac:dyDescent="0.25"/>
    <row r="3" spans="2:63" ht="12.75" customHeight="1" x14ac:dyDescent="0.25"/>
    <row r="4" spans="2:63" ht="24" customHeight="1" x14ac:dyDescent="0.4">
      <c r="B4" s="162" t="s">
        <v>0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BC4" s="1"/>
    </row>
    <row r="5" spans="2:63" ht="20.25" customHeight="1" x14ac:dyDescent="0.25"/>
    <row r="6" spans="2:63" ht="21" customHeight="1" x14ac:dyDescent="0.25">
      <c r="B6" s="2"/>
      <c r="C6" s="127"/>
      <c r="D6" s="84"/>
      <c r="E6" s="84"/>
      <c r="F6" s="84"/>
      <c r="G6" s="3"/>
      <c r="H6" s="111"/>
      <c r="I6" s="84"/>
      <c r="J6" s="84"/>
      <c r="K6" s="4"/>
      <c r="L6" s="120" t="s">
        <v>1</v>
      </c>
      <c r="M6" s="82"/>
      <c r="N6" s="82"/>
      <c r="O6" s="131">
        <v>46147</v>
      </c>
      <c r="P6" s="130"/>
      <c r="Q6" s="130"/>
      <c r="R6" s="130"/>
      <c r="S6" s="120" t="s">
        <v>2</v>
      </c>
      <c r="T6" s="82"/>
      <c r="U6" s="82"/>
      <c r="V6" s="143"/>
      <c r="W6" s="144"/>
      <c r="X6" s="144"/>
      <c r="Y6" s="144"/>
    </row>
    <row r="7" spans="2:63" ht="13.5" customHeight="1" x14ac:dyDescent="0.25">
      <c r="BH7" s="1"/>
      <c r="BI7" s="1"/>
      <c r="BJ7" s="1"/>
      <c r="BK7" s="1" t="s">
        <v>3</v>
      </c>
    </row>
    <row r="8" spans="2:63" ht="13.5" customHeight="1" x14ac:dyDescent="0.25">
      <c r="B8" s="116" t="s">
        <v>4</v>
      </c>
      <c r="C8" s="88"/>
      <c r="D8" s="88"/>
      <c r="E8" s="88"/>
      <c r="F8" s="89"/>
      <c r="G8" s="116" t="s">
        <v>5</v>
      </c>
      <c r="H8" s="88"/>
      <c r="I8" s="88"/>
      <c r="J8" s="88"/>
      <c r="K8" s="89"/>
      <c r="L8" s="87" t="s">
        <v>6</v>
      </c>
      <c r="M8" s="88"/>
      <c r="N8" s="88"/>
      <c r="O8" s="88"/>
      <c r="P8" s="88"/>
      <c r="Q8" s="89"/>
      <c r="R8" s="116" t="s">
        <v>7</v>
      </c>
      <c r="S8" s="88"/>
      <c r="T8" s="88"/>
      <c r="U8" s="88"/>
      <c r="V8" s="89"/>
      <c r="W8" s="114" t="s">
        <v>8</v>
      </c>
      <c r="X8" s="88"/>
      <c r="Y8" s="88"/>
      <c r="Z8" s="89"/>
      <c r="BG8" s="1"/>
      <c r="BH8" s="1"/>
      <c r="BI8" s="1"/>
      <c r="BJ8" s="1" t="s">
        <v>9</v>
      </c>
      <c r="BK8" s="1" t="s">
        <v>10</v>
      </c>
    </row>
    <row r="9" spans="2:63" ht="21" customHeight="1" x14ac:dyDescent="0.25">
      <c r="B9" s="146" t="s">
        <v>110</v>
      </c>
      <c r="C9" s="130"/>
      <c r="D9" s="130"/>
      <c r="E9" s="130"/>
      <c r="F9" s="136"/>
      <c r="G9" s="146" t="s">
        <v>112</v>
      </c>
      <c r="H9" s="130"/>
      <c r="I9" s="130"/>
      <c r="J9" s="130"/>
      <c r="K9" s="136"/>
      <c r="L9" s="146" t="s">
        <v>111</v>
      </c>
      <c r="M9" s="130"/>
      <c r="N9" s="130"/>
      <c r="O9" s="130"/>
      <c r="P9" s="130"/>
      <c r="Q9" s="136"/>
      <c r="R9" s="135"/>
      <c r="S9" s="130"/>
      <c r="T9" s="130"/>
      <c r="U9" s="130"/>
      <c r="V9" s="136"/>
      <c r="W9" s="137">
        <v>38</v>
      </c>
      <c r="X9" s="130"/>
      <c r="Y9" s="130"/>
      <c r="Z9" s="136"/>
      <c r="BJ9" s="1">
        <v>-20</v>
      </c>
      <c r="BK9" s="1">
        <v>0.99900999999999995</v>
      </c>
    </row>
    <row r="10" spans="2:63" ht="21" customHeight="1" x14ac:dyDescent="0.25">
      <c r="B10" s="5" t="s">
        <v>11</v>
      </c>
      <c r="C10" s="112" t="s">
        <v>104</v>
      </c>
      <c r="D10" s="86"/>
      <c r="E10" s="91"/>
      <c r="F10" s="5" t="s">
        <v>12</v>
      </c>
      <c r="G10" s="161" t="s">
        <v>105</v>
      </c>
      <c r="H10" s="99"/>
      <c r="I10" s="99"/>
      <c r="J10" s="100"/>
      <c r="K10" s="5" t="s">
        <v>13</v>
      </c>
      <c r="L10" s="112" t="s">
        <v>106</v>
      </c>
      <c r="M10" s="91"/>
      <c r="N10" s="110" t="s">
        <v>107</v>
      </c>
      <c r="O10" s="99"/>
      <c r="P10" s="112" t="s">
        <v>108</v>
      </c>
      <c r="Q10" s="86"/>
      <c r="R10" s="86"/>
      <c r="S10" s="91"/>
      <c r="T10" s="110" t="s">
        <v>14</v>
      </c>
      <c r="U10" s="99"/>
      <c r="V10" s="112" t="s">
        <v>109</v>
      </c>
      <c r="W10" s="86"/>
      <c r="X10" s="86"/>
      <c r="Y10" s="86"/>
      <c r="Z10" s="91"/>
      <c r="BJ10" s="1">
        <v>-19</v>
      </c>
      <c r="BK10" s="1">
        <v>0.99902000000000002</v>
      </c>
    </row>
    <row r="11" spans="2:63" ht="13.5" customHeight="1" x14ac:dyDescent="0.25">
      <c r="B11" s="6" t="s">
        <v>15</v>
      </c>
      <c r="C11" s="106"/>
      <c r="D11" s="107"/>
      <c r="E11" s="108"/>
      <c r="F11" s="6" t="s">
        <v>16</v>
      </c>
      <c r="G11" s="106"/>
      <c r="H11" s="107"/>
      <c r="I11" s="107"/>
      <c r="J11" s="108"/>
      <c r="K11" s="6" t="s">
        <v>17</v>
      </c>
      <c r="L11" s="7"/>
      <c r="M11" s="139"/>
      <c r="N11" s="88"/>
      <c r="O11" s="88"/>
      <c r="P11" s="88"/>
      <c r="Q11" s="89"/>
      <c r="R11" s="6" t="s">
        <v>18</v>
      </c>
      <c r="S11" s="8"/>
      <c r="T11" s="8"/>
      <c r="U11" s="7"/>
      <c r="V11" s="7"/>
      <c r="W11" s="6" t="s">
        <v>19</v>
      </c>
      <c r="X11" s="7"/>
      <c r="Y11" s="9"/>
      <c r="Z11" s="10"/>
      <c r="BJ11" s="1">
        <v>-18</v>
      </c>
      <c r="BK11" s="1">
        <v>0.99902999999999997</v>
      </c>
    </row>
    <row r="12" spans="2:63" ht="21" customHeight="1" x14ac:dyDescent="0.25">
      <c r="B12" s="11" t="s">
        <v>20</v>
      </c>
      <c r="C12" s="132"/>
      <c r="D12" s="133"/>
      <c r="E12" s="134"/>
      <c r="F12" s="12" t="s">
        <v>21</v>
      </c>
      <c r="G12" s="132"/>
      <c r="H12" s="133"/>
      <c r="I12" s="133"/>
      <c r="J12" s="134"/>
      <c r="K12" s="12" t="s">
        <v>20</v>
      </c>
      <c r="L12" s="13"/>
      <c r="M12" s="132"/>
      <c r="N12" s="133"/>
      <c r="O12" s="133"/>
      <c r="P12" s="133"/>
      <c r="Q12" s="134"/>
      <c r="R12" s="14"/>
      <c r="S12" s="15"/>
      <c r="T12" s="15">
        <v>1459</v>
      </c>
      <c r="U12" s="16"/>
      <c r="V12" s="16"/>
      <c r="W12" s="170" t="s">
        <v>113</v>
      </c>
      <c r="X12" s="133"/>
      <c r="Y12" s="133"/>
      <c r="Z12" s="134"/>
      <c r="BJ12" s="1">
        <v>-17</v>
      </c>
      <c r="BK12" s="1">
        <v>0.99904999999999999</v>
      </c>
    </row>
    <row r="13" spans="2:63" ht="15" customHeight="1" x14ac:dyDescent="0.25">
      <c r="B13" s="17" t="s">
        <v>22</v>
      </c>
      <c r="C13" s="117"/>
      <c r="D13" s="118"/>
      <c r="E13" s="118"/>
      <c r="F13" s="119"/>
      <c r="G13" s="117"/>
      <c r="H13" s="118"/>
      <c r="I13" s="118"/>
      <c r="J13" s="119"/>
      <c r="K13" s="117"/>
      <c r="L13" s="118"/>
      <c r="M13" s="118"/>
      <c r="N13" s="119"/>
      <c r="O13" s="123"/>
      <c r="P13" s="124"/>
      <c r="Q13" s="124"/>
      <c r="R13" s="125"/>
      <c r="S13" s="171"/>
      <c r="T13" s="118"/>
      <c r="U13" s="118"/>
      <c r="V13" s="118"/>
      <c r="W13" s="121"/>
      <c r="X13" s="118"/>
      <c r="Y13" s="118"/>
      <c r="Z13" s="122"/>
      <c r="AA13" s="126"/>
      <c r="AB13" s="82"/>
      <c r="AC13" s="82"/>
      <c r="AD13" s="82"/>
      <c r="AE13" s="126"/>
      <c r="AF13" s="82"/>
      <c r="AG13" s="82"/>
      <c r="AH13" s="82"/>
      <c r="AI13" s="126"/>
      <c r="AJ13" s="82"/>
      <c r="AK13" s="82"/>
      <c r="AL13" s="82"/>
      <c r="AM13" s="126"/>
      <c r="AN13" s="82"/>
      <c r="AO13" s="82"/>
      <c r="AP13" s="82"/>
      <c r="BJ13" s="1">
        <v>-16</v>
      </c>
      <c r="BK13" s="1">
        <v>0.99905999999999995</v>
      </c>
    </row>
    <row r="14" spans="2:63" ht="21.75" customHeight="1" x14ac:dyDescent="0.25">
      <c r="B14" s="18" t="s">
        <v>23</v>
      </c>
      <c r="C14" s="92">
        <v>380</v>
      </c>
      <c r="D14" s="93"/>
      <c r="E14" s="93"/>
      <c r="F14" s="94"/>
      <c r="G14" s="92">
        <v>380</v>
      </c>
      <c r="H14" s="93"/>
      <c r="I14" s="93"/>
      <c r="J14" s="94"/>
      <c r="K14" s="92"/>
      <c r="L14" s="93"/>
      <c r="M14" s="93"/>
      <c r="N14" s="94"/>
      <c r="O14" s="92"/>
      <c r="P14" s="93"/>
      <c r="Q14" s="93"/>
      <c r="R14" s="94"/>
      <c r="S14" s="166"/>
      <c r="T14" s="93"/>
      <c r="U14" s="93"/>
      <c r="V14" s="93"/>
      <c r="W14" s="157"/>
      <c r="X14" s="93"/>
      <c r="Y14" s="93"/>
      <c r="Z14" s="158"/>
      <c r="AA14" s="83"/>
      <c r="AB14" s="84"/>
      <c r="AC14" s="84"/>
      <c r="AD14" s="84"/>
      <c r="AE14" s="83"/>
      <c r="AF14" s="84"/>
      <c r="AG14" s="84"/>
      <c r="AH14" s="84"/>
      <c r="AI14" s="83"/>
      <c r="AJ14" s="84"/>
      <c r="AK14" s="84"/>
      <c r="AL14" s="84"/>
      <c r="AM14" s="83"/>
      <c r="AN14" s="84"/>
      <c r="AO14" s="84"/>
      <c r="AP14" s="84"/>
      <c r="BJ14" s="1">
        <v>-15</v>
      </c>
      <c r="BK14" s="1">
        <v>0.99907000000000001</v>
      </c>
    </row>
    <row r="15" spans="2:63" ht="21.75" customHeight="1" x14ac:dyDescent="0.25">
      <c r="B15" s="19" t="s">
        <v>24</v>
      </c>
      <c r="C15" s="128">
        <v>996.2</v>
      </c>
      <c r="D15" s="86"/>
      <c r="E15" s="86"/>
      <c r="F15" s="91"/>
      <c r="G15" s="128">
        <v>996.89</v>
      </c>
      <c r="H15" s="86"/>
      <c r="I15" s="86"/>
      <c r="J15" s="91"/>
      <c r="K15" s="128"/>
      <c r="L15" s="86"/>
      <c r="M15" s="86"/>
      <c r="N15" s="91"/>
      <c r="O15" s="128"/>
      <c r="P15" s="86"/>
      <c r="Q15" s="86"/>
      <c r="R15" s="91"/>
      <c r="S15" s="167"/>
      <c r="T15" s="86"/>
      <c r="U15" s="86"/>
      <c r="V15" s="86"/>
      <c r="W15" s="128"/>
      <c r="X15" s="86"/>
      <c r="Y15" s="86"/>
      <c r="Z15" s="91"/>
      <c r="AA15" s="83"/>
      <c r="AB15" s="84"/>
      <c r="AC15" s="84"/>
      <c r="AD15" s="84"/>
      <c r="AE15" s="83"/>
      <c r="AF15" s="84"/>
      <c r="AG15" s="84"/>
      <c r="AH15" s="84"/>
      <c r="AI15" s="83"/>
      <c r="AJ15" s="84"/>
      <c r="AK15" s="84"/>
      <c r="AL15" s="84"/>
      <c r="AM15" s="83"/>
      <c r="AN15" s="84"/>
      <c r="AO15" s="84"/>
      <c r="AP15" s="84"/>
      <c r="BJ15" s="1">
        <v>-14</v>
      </c>
      <c r="BK15" s="1">
        <v>0.99907999999999997</v>
      </c>
    </row>
    <row r="16" spans="2:63" ht="23.25" customHeight="1" x14ac:dyDescent="0.25">
      <c r="B16" s="20" t="s">
        <v>25</v>
      </c>
      <c r="C16" s="21">
        <v>60</v>
      </c>
      <c r="D16" s="109">
        <v>60</v>
      </c>
      <c r="E16" s="91"/>
      <c r="F16" s="21">
        <v>60</v>
      </c>
      <c r="G16" s="21">
        <v>60</v>
      </c>
      <c r="H16" s="109">
        <v>60</v>
      </c>
      <c r="I16" s="91"/>
      <c r="J16" s="21">
        <v>60</v>
      </c>
      <c r="K16" s="21"/>
      <c r="L16" s="109"/>
      <c r="M16" s="91"/>
      <c r="N16" s="21"/>
      <c r="O16" s="21"/>
      <c r="P16" s="109"/>
      <c r="Q16" s="91"/>
      <c r="R16" s="21"/>
      <c r="S16" s="21"/>
      <c r="T16" s="109"/>
      <c r="U16" s="91"/>
      <c r="V16" s="22"/>
      <c r="W16" s="21"/>
      <c r="X16" s="109"/>
      <c r="Y16" s="91"/>
      <c r="Z16" s="21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BJ16" s="1">
        <v>-13</v>
      </c>
      <c r="BK16" s="1">
        <v>0.99909999999999999</v>
      </c>
    </row>
    <row r="17" spans="2:63" ht="23.25" customHeight="1" x14ac:dyDescent="0.25">
      <c r="B17" s="24" t="s">
        <v>26</v>
      </c>
      <c r="C17" s="113">
        <f>IF(C16&gt;0,AVERAGE(C16:F16),0)</f>
        <v>60</v>
      </c>
      <c r="D17" s="99"/>
      <c r="E17" s="99"/>
      <c r="F17" s="100"/>
      <c r="G17" s="113">
        <f>IF(G16&gt;0,AVERAGE(G16:J16),0)</f>
        <v>60</v>
      </c>
      <c r="H17" s="99"/>
      <c r="I17" s="99"/>
      <c r="J17" s="100"/>
      <c r="K17" s="113">
        <f>IF(K16&gt;0,AVERAGE(K16:N16),0)</f>
        <v>0</v>
      </c>
      <c r="L17" s="99"/>
      <c r="M17" s="99"/>
      <c r="N17" s="100"/>
      <c r="O17" s="113">
        <f>IF(O16&gt;0,AVERAGE(O16:R16),0)</f>
        <v>0</v>
      </c>
      <c r="P17" s="99"/>
      <c r="Q17" s="99"/>
      <c r="R17" s="100"/>
      <c r="S17" s="169">
        <f>IF(S16&gt;0,AVERAGE(S16:V16),0)</f>
        <v>0</v>
      </c>
      <c r="T17" s="99"/>
      <c r="U17" s="99"/>
      <c r="V17" s="99"/>
      <c r="W17" s="113">
        <f>IF(W16&gt;0,AVERAGE(W16:Z16),0)</f>
        <v>0</v>
      </c>
      <c r="X17" s="99"/>
      <c r="Y17" s="99"/>
      <c r="Z17" s="100"/>
      <c r="AA17" s="81"/>
      <c r="AB17" s="82"/>
      <c r="AC17" s="82"/>
      <c r="AD17" s="82"/>
      <c r="AE17" s="81"/>
      <c r="AF17" s="82"/>
      <c r="AG17" s="82"/>
      <c r="AH17" s="82"/>
      <c r="AI17" s="81"/>
      <c r="AJ17" s="82"/>
      <c r="AK17" s="82"/>
      <c r="AL17" s="82"/>
      <c r="AM17" s="81"/>
      <c r="AN17" s="82"/>
      <c r="AO17" s="82"/>
      <c r="AP17" s="82"/>
      <c r="BJ17" s="1">
        <v>-12</v>
      </c>
      <c r="BK17" s="1">
        <v>0.99911000000000005</v>
      </c>
    </row>
    <row r="18" spans="2:63" ht="23.25" customHeight="1" x14ac:dyDescent="0.25">
      <c r="B18" s="25" t="s">
        <v>27</v>
      </c>
      <c r="C18" s="105">
        <f>VLOOKUP(ROUND(C17,0),Shelltable,2,FALSE())</f>
        <v>1</v>
      </c>
      <c r="D18" s="99"/>
      <c r="E18" s="99"/>
      <c r="F18" s="100"/>
      <c r="G18" s="105">
        <f>VLOOKUP(ROUND(G17,0),Shelltable,2,FALSE())</f>
        <v>1</v>
      </c>
      <c r="H18" s="99"/>
      <c r="I18" s="99"/>
      <c r="J18" s="100"/>
      <c r="K18" s="105">
        <f>VLOOKUP(ROUND(K17,0),Shelltable,2,FALSE())</f>
        <v>0.99926000000000004</v>
      </c>
      <c r="L18" s="99"/>
      <c r="M18" s="99"/>
      <c r="N18" s="100"/>
      <c r="O18" s="105">
        <f>VLOOKUP(ROUND(O17,0),Shelltable,2,FALSE())</f>
        <v>0.99926000000000004</v>
      </c>
      <c r="P18" s="99"/>
      <c r="Q18" s="99"/>
      <c r="R18" s="100"/>
      <c r="S18" s="105">
        <f>VLOOKUP(ROUND(S17,0),Shelltable,2,FALSE())</f>
        <v>0.99926000000000004</v>
      </c>
      <c r="T18" s="99"/>
      <c r="U18" s="99"/>
      <c r="V18" s="100"/>
      <c r="W18" s="105">
        <f>VLOOKUP(ROUND(W17,0),Shelltable,2,FALSE())</f>
        <v>0.99926000000000004</v>
      </c>
      <c r="X18" s="99"/>
      <c r="Y18" s="99"/>
      <c r="Z18" s="100"/>
      <c r="AA18" s="103"/>
      <c r="AB18" s="82"/>
      <c r="AC18" s="82"/>
      <c r="AD18" s="82"/>
      <c r="AE18" s="103"/>
      <c r="AF18" s="82"/>
      <c r="AG18" s="82"/>
      <c r="AH18" s="82"/>
      <c r="AI18" s="103"/>
      <c r="AJ18" s="82"/>
      <c r="AK18" s="82"/>
      <c r="AL18" s="82"/>
      <c r="AM18" s="103"/>
      <c r="AN18" s="82"/>
      <c r="AO18" s="82"/>
      <c r="AP18" s="82"/>
      <c r="BJ18" s="1">
        <v>-11</v>
      </c>
      <c r="BK18" s="1">
        <v>0.99912000000000001</v>
      </c>
    </row>
    <row r="19" spans="2:63" ht="23.25" customHeight="1" x14ac:dyDescent="0.25">
      <c r="B19" s="26" t="s">
        <v>28</v>
      </c>
      <c r="C19" s="95">
        <f>IF(C17=0,0,IF(C17=60,1,EXP(-(594.5418/((141.5/($W$9+131.5)*999.016)^2))*((C17-60)/1.8)*(1+0.8*(594.5418/((141.5/($W$9+131.5)*999.016)^2))*((C17-60)/1.8)))))</f>
        <v>1</v>
      </c>
      <c r="D19" s="86"/>
      <c r="E19" s="86"/>
      <c r="F19" s="91"/>
      <c r="G19" s="95">
        <f>IF(G17=0,0,IF(G17=60,1,EXP(-(594.5418/((141.5/($W$9+131.5)*999.016)^2))*((G17-60)/1.8)*(1+0.8*(594.5418/((141.5/($W$9+131.5)*999.016)^2))*((G17-60)/1.8)))))</f>
        <v>1</v>
      </c>
      <c r="H19" s="86"/>
      <c r="I19" s="86"/>
      <c r="J19" s="91"/>
      <c r="K19" s="95">
        <f>IF(K17=0,0,IF(K17=60,1,EXP(-(594.5418/((141.5/($W$9+131.5)*999.016)^2))*((K17-60)/1.8)*(1+0.8*(594.5418/((141.5/($W$9+131.5)*999.016)^2))*((K17-60)/1.8)))))</f>
        <v>0</v>
      </c>
      <c r="L19" s="86"/>
      <c r="M19" s="86"/>
      <c r="N19" s="91"/>
      <c r="O19" s="95">
        <f>IF(O17=0,0,IF(O17=60,1,EXP(-(594.5418/((141.5/($W$9+131.5)*999.016)^2))*((O17-60)/1.8)*(1+0.8*(594.5418/((141.5/($W$9+131.5)*999.016)^2))*((O17-60)/1.8)))))</f>
        <v>0</v>
      </c>
      <c r="P19" s="86"/>
      <c r="Q19" s="86"/>
      <c r="R19" s="91"/>
      <c r="S19" s="145">
        <f>IF(S17=0,0,IF(S17=60,1,EXP(-(594.5418/((141.5/($W$9+131.5)*999.016)^2))*((S17-60)/1.8)*(1+0.8*(594.5418/((141.5/($W$9+131.5)*999.016)^2))*((S17-60)/1.8)))))</f>
        <v>0</v>
      </c>
      <c r="T19" s="86"/>
      <c r="U19" s="86"/>
      <c r="V19" s="86"/>
      <c r="W19" s="95">
        <f>IF(W17=0,0,IF(W17=60,1,EXP(-(594.5418/((141.5/($W$9+131.5)*999.016)^2))*((W17-60)/1.8)*(1+0.8*(594.5418/((141.5/($W$9+131.5)*999.016)^2))*((W17-60)/1.8)))))</f>
        <v>0</v>
      </c>
      <c r="X19" s="86"/>
      <c r="Y19" s="86"/>
      <c r="Z19" s="91"/>
      <c r="AA19" s="83"/>
      <c r="AB19" s="84"/>
      <c r="AC19" s="84"/>
      <c r="AD19" s="84"/>
      <c r="AE19" s="83"/>
      <c r="AF19" s="84"/>
      <c r="AG19" s="84"/>
      <c r="AH19" s="84"/>
      <c r="AI19" s="83"/>
      <c r="AJ19" s="84"/>
      <c r="AK19" s="84"/>
      <c r="AL19" s="84"/>
      <c r="AM19" s="83"/>
      <c r="AN19" s="84"/>
      <c r="AO19" s="84"/>
      <c r="AP19" s="84"/>
      <c r="BJ19" s="1">
        <v>-10</v>
      </c>
      <c r="BK19" s="1">
        <v>0.99912999999999996</v>
      </c>
    </row>
    <row r="20" spans="2:63" ht="23.25" customHeight="1" x14ac:dyDescent="0.25">
      <c r="B20" s="27" t="s">
        <v>29</v>
      </c>
      <c r="C20" s="152">
        <f>C15*C18*C19</f>
        <v>996.2</v>
      </c>
      <c r="D20" s="153"/>
      <c r="E20" s="153"/>
      <c r="F20" s="154"/>
      <c r="G20" s="152">
        <f>G15*G18*G19</f>
        <v>996.89</v>
      </c>
      <c r="H20" s="153"/>
      <c r="I20" s="153"/>
      <c r="J20" s="154"/>
      <c r="K20" s="152">
        <f>K15*K18*K19</f>
        <v>0</v>
      </c>
      <c r="L20" s="153"/>
      <c r="M20" s="153"/>
      <c r="N20" s="154"/>
      <c r="O20" s="152">
        <f>O15*O18*O19</f>
        <v>0</v>
      </c>
      <c r="P20" s="153"/>
      <c r="Q20" s="153"/>
      <c r="R20" s="154"/>
      <c r="S20" s="156">
        <f>S15*S18*S19</f>
        <v>0</v>
      </c>
      <c r="T20" s="153"/>
      <c r="U20" s="153"/>
      <c r="V20" s="153"/>
      <c r="W20" s="152">
        <f>W15*W18*W19</f>
        <v>0</v>
      </c>
      <c r="X20" s="153"/>
      <c r="Y20" s="153"/>
      <c r="Z20" s="154"/>
      <c r="AA20" s="102"/>
      <c r="AB20" s="82"/>
      <c r="AC20" s="82"/>
      <c r="AD20" s="82"/>
      <c r="AE20" s="102"/>
      <c r="AF20" s="82"/>
      <c r="AG20" s="82"/>
      <c r="AH20" s="82"/>
      <c r="AI20" s="102"/>
      <c r="AJ20" s="82"/>
      <c r="AK20" s="82"/>
      <c r="AL20" s="82"/>
      <c r="AM20" s="102"/>
      <c r="AN20" s="82"/>
      <c r="AO20" s="82"/>
      <c r="AP20" s="82"/>
      <c r="BJ20" s="1">
        <v>-9</v>
      </c>
      <c r="BK20" s="1">
        <v>0.99914000000000003</v>
      </c>
    </row>
    <row r="21" spans="2:63" ht="21.75" customHeight="1" x14ac:dyDescent="0.25">
      <c r="B21" s="28" t="s">
        <v>30</v>
      </c>
      <c r="C21" s="159">
        <v>1001.21</v>
      </c>
      <c r="D21" s="130"/>
      <c r="E21" s="130"/>
      <c r="F21" s="136"/>
      <c r="G21" s="159">
        <v>995.22</v>
      </c>
      <c r="H21" s="130"/>
      <c r="I21" s="130"/>
      <c r="J21" s="136"/>
      <c r="K21" s="159"/>
      <c r="L21" s="130"/>
      <c r="M21" s="130"/>
      <c r="N21" s="136"/>
      <c r="O21" s="159"/>
      <c r="P21" s="130"/>
      <c r="Q21" s="130"/>
      <c r="R21" s="136"/>
      <c r="S21" s="129"/>
      <c r="T21" s="130"/>
      <c r="U21" s="130"/>
      <c r="V21" s="130"/>
      <c r="W21" s="159"/>
      <c r="X21" s="130"/>
      <c r="Y21" s="130"/>
      <c r="Z21" s="136"/>
      <c r="AA21" s="83"/>
      <c r="AB21" s="84"/>
      <c r="AC21" s="84"/>
      <c r="AD21" s="84"/>
      <c r="AE21" s="83"/>
      <c r="AF21" s="84"/>
      <c r="AG21" s="84"/>
      <c r="AH21" s="84"/>
      <c r="AI21" s="83"/>
      <c r="AJ21" s="84"/>
      <c r="AK21" s="84"/>
      <c r="AL21" s="84"/>
      <c r="AM21" s="83"/>
      <c r="AN21" s="84"/>
      <c r="AO21" s="84"/>
      <c r="AP21" s="84"/>
      <c r="BJ21" s="1">
        <v>-8</v>
      </c>
      <c r="BK21" s="1">
        <v>0.99916000000000005</v>
      </c>
    </row>
    <row r="22" spans="2:63" ht="21.75" customHeight="1" x14ac:dyDescent="0.25">
      <c r="B22" s="29" t="s">
        <v>31</v>
      </c>
      <c r="C22" s="109">
        <v>60</v>
      </c>
      <c r="D22" s="86"/>
      <c r="E22" s="86"/>
      <c r="F22" s="91"/>
      <c r="G22" s="109">
        <v>60</v>
      </c>
      <c r="H22" s="86"/>
      <c r="I22" s="86"/>
      <c r="J22" s="91"/>
      <c r="K22" s="109"/>
      <c r="L22" s="86"/>
      <c r="M22" s="86"/>
      <c r="N22" s="91"/>
      <c r="O22" s="109"/>
      <c r="P22" s="86"/>
      <c r="Q22" s="86"/>
      <c r="R22" s="91"/>
      <c r="S22" s="109"/>
      <c r="T22" s="86"/>
      <c r="U22" s="86"/>
      <c r="V22" s="91"/>
      <c r="W22" s="109"/>
      <c r="X22" s="86"/>
      <c r="Y22" s="86"/>
      <c r="Z22" s="91"/>
      <c r="AA22" s="138"/>
      <c r="AB22" s="84"/>
      <c r="AC22" s="84"/>
      <c r="AD22" s="84"/>
      <c r="AE22" s="83"/>
      <c r="AF22" s="84"/>
      <c r="AG22" s="84"/>
      <c r="AH22" s="84"/>
      <c r="AI22" s="83"/>
      <c r="AJ22" s="84"/>
      <c r="AK22" s="84"/>
      <c r="AL22" s="84"/>
      <c r="AM22" s="83"/>
      <c r="AN22" s="84"/>
      <c r="AO22" s="84"/>
      <c r="AP22" s="84"/>
      <c r="BJ22" s="1">
        <v>-7</v>
      </c>
      <c r="BK22" s="1">
        <v>0.99917</v>
      </c>
    </row>
    <row r="23" spans="2:63" ht="21.75" customHeight="1" x14ac:dyDescent="0.25">
      <c r="B23" s="26" t="s">
        <v>32</v>
      </c>
      <c r="C23" s="95">
        <f>IF(C22=0,0,IF(C22=60,1,EXP(-(594.5418/((141.5/($W$9+131.5)*999.016)^2))*((C22-60)/1.8)*(1+0.8*(594.5418/((141.5/($W$9+131.5)*999.016)^2))*((C22-60)/1.8)))))</f>
        <v>1</v>
      </c>
      <c r="D23" s="86"/>
      <c r="E23" s="86"/>
      <c r="F23" s="91"/>
      <c r="G23" s="95">
        <f>IF(G22=0,0,IF(G22=60,1,EXP(-(594.5418/((141.5/($W$9+131.5)*999.016)^2))*((G22-60)/1.8)*(1+0.8*(594.5418/((141.5/($W$9+131.5)*999.016)^2))*((G22-60)/1.8)))))</f>
        <v>1</v>
      </c>
      <c r="H23" s="86"/>
      <c r="I23" s="86"/>
      <c r="J23" s="91"/>
      <c r="K23" s="95">
        <f>IF(K22=0,0,IF(K22=60,1,EXP(-(594.5418/((141.5/($W$9+131.5)*999.016)^2))*((K22-60)/1.8)*(1+0.8*(594.5418/((141.5/($W$9+131.5)*999.016)^2))*((K22-60)/1.8)))))</f>
        <v>0</v>
      </c>
      <c r="L23" s="86"/>
      <c r="M23" s="86"/>
      <c r="N23" s="91"/>
      <c r="O23" s="95">
        <f>IF(O22=0,0,IF(O22=60,1,EXP(-(594.5418/((141.5/($W$9+131.5)*999.016)^2))*((O22-60)/1.8)*(1+0.8*(594.5418/((141.5/($W$9+131.5)*999.016)^2))*((O22-60)/1.8)))))</f>
        <v>0</v>
      </c>
      <c r="P23" s="86"/>
      <c r="Q23" s="86"/>
      <c r="R23" s="91"/>
      <c r="S23" s="145">
        <f>IF(S22=0,0,IF(S22=60,1,EXP(-(594.5418/((141.5/($W$9+131.5)*999.016)^2))*((S22-60)/1.8)*(1+0.8*(594.5418/((141.5/($W$9+131.5)*999.016)^2))*((S22-60)/1.8)))))</f>
        <v>0</v>
      </c>
      <c r="T23" s="86"/>
      <c r="U23" s="86"/>
      <c r="V23" s="86"/>
      <c r="W23" s="95">
        <f>IF(W22=0,0,IF(W22=60,1,EXP(-(594.5418/((141.5/($W$9+131.5)*999.016)^2))*((W22-60)/1.8)*(1+0.8*(594.5418/((141.5/($W$9+131.5)*999.016)^2))*((W22-60)/1.8)))))</f>
        <v>0</v>
      </c>
      <c r="X23" s="86"/>
      <c r="Y23" s="86"/>
      <c r="Z23" s="91"/>
      <c r="AA23" s="83"/>
      <c r="AB23" s="84"/>
      <c r="AC23" s="84"/>
      <c r="AD23" s="84"/>
      <c r="AE23" s="83"/>
      <c r="AF23" s="84"/>
      <c r="AG23" s="84"/>
      <c r="AH23" s="84"/>
      <c r="AI23" s="83"/>
      <c r="AJ23" s="84"/>
      <c r="AK23" s="84"/>
      <c r="AL23" s="84"/>
      <c r="AM23" s="83"/>
      <c r="AN23" s="84"/>
      <c r="AO23" s="84"/>
      <c r="AP23" s="84"/>
      <c r="BJ23" s="1">
        <v>-6</v>
      </c>
      <c r="BK23" s="1">
        <v>0.99917999999999996</v>
      </c>
    </row>
    <row r="24" spans="2:63" ht="21.75" customHeight="1" x14ac:dyDescent="0.25">
      <c r="B24" s="24" t="s">
        <v>33</v>
      </c>
      <c r="C24" s="98">
        <f>C21*C23</f>
        <v>1001.21</v>
      </c>
      <c r="D24" s="99"/>
      <c r="E24" s="99"/>
      <c r="F24" s="100"/>
      <c r="G24" s="98">
        <f>G21*G23</f>
        <v>995.22</v>
      </c>
      <c r="H24" s="99"/>
      <c r="I24" s="99"/>
      <c r="J24" s="100"/>
      <c r="K24" s="98">
        <f>K21*K23</f>
        <v>0</v>
      </c>
      <c r="L24" s="99"/>
      <c r="M24" s="99"/>
      <c r="N24" s="100"/>
      <c r="O24" s="98">
        <f>O21*O23</f>
        <v>0</v>
      </c>
      <c r="P24" s="99"/>
      <c r="Q24" s="99"/>
      <c r="R24" s="100"/>
      <c r="S24" s="140">
        <f>S21*S23</f>
        <v>0</v>
      </c>
      <c r="T24" s="99"/>
      <c r="U24" s="99"/>
      <c r="V24" s="99"/>
      <c r="W24" s="98">
        <f>W21*W23</f>
        <v>0</v>
      </c>
      <c r="X24" s="99"/>
      <c r="Y24" s="99"/>
      <c r="Z24" s="100"/>
      <c r="AA24" s="160"/>
      <c r="AB24" s="82"/>
      <c r="AC24" s="82"/>
      <c r="AD24" s="82"/>
      <c r="AE24" s="160"/>
      <c r="AF24" s="82"/>
      <c r="AG24" s="82"/>
      <c r="AH24" s="82"/>
      <c r="AI24" s="160"/>
      <c r="AJ24" s="82"/>
      <c r="AK24" s="82"/>
      <c r="AL24" s="82"/>
      <c r="AM24" s="160"/>
      <c r="AN24" s="82"/>
      <c r="AO24" s="82"/>
      <c r="AP24" s="82"/>
      <c r="BJ24" s="1">
        <v>-5</v>
      </c>
      <c r="BK24" s="1">
        <v>0.99919000000000002</v>
      </c>
    </row>
    <row r="25" spans="2:63" ht="21.75" customHeight="1" x14ac:dyDescent="0.25">
      <c r="B25" s="24" t="s">
        <v>34</v>
      </c>
      <c r="C25" s="115">
        <f>C20-C24</f>
        <v>-5.0099999999999909</v>
      </c>
      <c r="D25" s="99"/>
      <c r="E25" s="99"/>
      <c r="F25" s="100"/>
      <c r="G25" s="115">
        <f>G20-G24</f>
        <v>1.6699999999999591</v>
      </c>
      <c r="H25" s="99"/>
      <c r="I25" s="99"/>
      <c r="J25" s="100"/>
      <c r="K25" s="115">
        <f>K20-K24</f>
        <v>0</v>
      </c>
      <c r="L25" s="99"/>
      <c r="M25" s="99"/>
      <c r="N25" s="100"/>
      <c r="O25" s="115">
        <f>O20-O24</f>
        <v>0</v>
      </c>
      <c r="P25" s="99"/>
      <c r="Q25" s="99"/>
      <c r="R25" s="100"/>
      <c r="S25" s="175">
        <f>S20-S24</f>
        <v>0</v>
      </c>
      <c r="T25" s="99"/>
      <c r="U25" s="99"/>
      <c r="V25" s="99"/>
      <c r="W25" s="115">
        <f>W20-W24</f>
        <v>0</v>
      </c>
      <c r="X25" s="99"/>
      <c r="Y25" s="99"/>
      <c r="Z25" s="100"/>
      <c r="AA25" s="96"/>
      <c r="AB25" s="82"/>
      <c r="AC25" s="82"/>
      <c r="AD25" s="82"/>
      <c r="AE25" s="96"/>
      <c r="AF25" s="82"/>
      <c r="AG25" s="82"/>
      <c r="AH25" s="82"/>
      <c r="AI25" s="96"/>
      <c r="AJ25" s="82"/>
      <c r="AK25" s="82"/>
      <c r="AL25" s="82"/>
      <c r="AM25" s="96"/>
      <c r="AN25" s="82"/>
      <c r="AO25" s="82"/>
      <c r="AP25" s="82"/>
      <c r="BJ25" s="1">
        <v>-4</v>
      </c>
      <c r="BK25" s="1">
        <v>0.99921000000000004</v>
      </c>
    </row>
    <row r="26" spans="2:63" ht="21.75" customHeight="1" x14ac:dyDescent="0.25">
      <c r="B26" s="24" t="s">
        <v>35</v>
      </c>
      <c r="C26" s="101">
        <f>IF(C21&lt;=0,0,(C25/C24*100))</f>
        <v>-0.50039452262761963</v>
      </c>
      <c r="D26" s="99"/>
      <c r="E26" s="99"/>
      <c r="F26" s="100"/>
      <c r="G26" s="101">
        <f>IF(G21&lt;=0,0,(G25/G24*100))</f>
        <v>0.16780209400936064</v>
      </c>
      <c r="H26" s="99"/>
      <c r="I26" s="99"/>
      <c r="J26" s="100"/>
      <c r="K26" s="101">
        <f>IF(K21&lt;=0,0,(K25/K24*100))</f>
        <v>0</v>
      </c>
      <c r="L26" s="99"/>
      <c r="M26" s="99"/>
      <c r="N26" s="100"/>
      <c r="O26" s="101">
        <f>IF(O21&lt;=0,0,(O25/O24*100))</f>
        <v>0</v>
      </c>
      <c r="P26" s="99"/>
      <c r="Q26" s="99"/>
      <c r="R26" s="100"/>
      <c r="S26" s="104">
        <f>IF(S21&lt;=0,0,(S25/S24*100))</f>
        <v>0</v>
      </c>
      <c r="T26" s="99"/>
      <c r="U26" s="99"/>
      <c r="V26" s="99"/>
      <c r="W26" s="101">
        <f>IF(W21&lt;=0,0,(W25/W24*100))</f>
        <v>0</v>
      </c>
      <c r="X26" s="99"/>
      <c r="Y26" s="99"/>
      <c r="Z26" s="100"/>
      <c r="AA26" s="96"/>
      <c r="AB26" s="82"/>
      <c r="AC26" s="82"/>
      <c r="AD26" s="82"/>
      <c r="AE26" s="96"/>
      <c r="AF26" s="82"/>
      <c r="AG26" s="82"/>
      <c r="AH26" s="82"/>
      <c r="AI26" s="96"/>
      <c r="AJ26" s="82"/>
      <c r="AK26" s="82"/>
      <c r="AL26" s="82"/>
      <c r="AM26" s="96"/>
      <c r="AN26" s="82"/>
      <c r="AO26" s="82"/>
      <c r="AP26" s="82"/>
      <c r="BJ26" s="1">
        <v>-3</v>
      </c>
      <c r="BK26" s="1">
        <v>0.99922</v>
      </c>
    </row>
    <row r="27" spans="2:63" ht="21.75" customHeight="1" x14ac:dyDescent="0.25">
      <c r="B27" s="24" t="s">
        <v>36</v>
      </c>
      <c r="C27" s="141">
        <f>C25*231</f>
        <v>-1157.3099999999979</v>
      </c>
      <c r="D27" s="99"/>
      <c r="E27" s="99"/>
      <c r="F27" s="100"/>
      <c r="G27" s="141">
        <f>G25*231</f>
        <v>385.76999999999055</v>
      </c>
      <c r="H27" s="99"/>
      <c r="I27" s="99"/>
      <c r="J27" s="100"/>
      <c r="K27" s="141">
        <f>K25*231</f>
        <v>0</v>
      </c>
      <c r="L27" s="99"/>
      <c r="M27" s="99"/>
      <c r="N27" s="100"/>
      <c r="O27" s="141">
        <f>O25*231</f>
        <v>0</v>
      </c>
      <c r="P27" s="99"/>
      <c r="Q27" s="99"/>
      <c r="R27" s="100"/>
      <c r="S27" s="168">
        <f>S25*231</f>
        <v>0</v>
      </c>
      <c r="T27" s="99"/>
      <c r="U27" s="99"/>
      <c r="V27" s="99"/>
      <c r="W27" s="141">
        <f>W25*231</f>
        <v>0</v>
      </c>
      <c r="X27" s="99"/>
      <c r="Y27" s="99"/>
      <c r="Z27" s="100"/>
      <c r="AA27" s="102"/>
      <c r="AB27" s="82"/>
      <c r="AC27" s="82"/>
      <c r="AD27" s="82"/>
      <c r="AE27" s="102"/>
      <c r="AF27" s="82"/>
      <c r="AG27" s="82"/>
      <c r="AH27" s="82"/>
      <c r="AI27" s="102"/>
      <c r="AJ27" s="82"/>
      <c r="AK27" s="82"/>
      <c r="AL27" s="82"/>
      <c r="AM27" s="102"/>
      <c r="AN27" s="82"/>
      <c r="AO27" s="82"/>
      <c r="AP27" s="82"/>
      <c r="BJ27" s="1">
        <v>-2</v>
      </c>
      <c r="BK27" s="1">
        <v>0.99922999999999995</v>
      </c>
    </row>
    <row r="28" spans="2:63" ht="21.75" customHeight="1" x14ac:dyDescent="0.25">
      <c r="B28" s="24" t="s">
        <v>37</v>
      </c>
      <c r="C28" s="101">
        <f>IF(C20&gt;0,(C20/C24),0)</f>
        <v>0.99499605477372377</v>
      </c>
      <c r="D28" s="99"/>
      <c r="E28" s="99"/>
      <c r="F28" s="100"/>
      <c r="G28" s="101">
        <f>IF(G20&gt;0,(G20/G24),0)</f>
        <v>1.0016780209400935</v>
      </c>
      <c r="H28" s="99"/>
      <c r="I28" s="99"/>
      <c r="J28" s="100"/>
      <c r="K28" s="101">
        <f>IF(K20&gt;0,(K20/K24),0)</f>
        <v>0</v>
      </c>
      <c r="L28" s="99"/>
      <c r="M28" s="99"/>
      <c r="N28" s="100"/>
      <c r="O28" s="101">
        <f>IF(O20&gt;0,(O20/O24),0)</f>
        <v>0</v>
      </c>
      <c r="P28" s="99"/>
      <c r="Q28" s="99"/>
      <c r="R28" s="100"/>
      <c r="S28" s="104">
        <f>IF(S20&gt;0,(S20/S24),0)</f>
        <v>0</v>
      </c>
      <c r="T28" s="99"/>
      <c r="U28" s="99"/>
      <c r="V28" s="99"/>
      <c r="W28" s="101">
        <f>IF(W20&gt;0,(W20/W24),0)</f>
        <v>0</v>
      </c>
      <c r="X28" s="99"/>
      <c r="Y28" s="99"/>
      <c r="Z28" s="100"/>
      <c r="AA28" s="96"/>
      <c r="AB28" s="82"/>
      <c r="AC28" s="82"/>
      <c r="AD28" s="82"/>
      <c r="AE28" s="96"/>
      <c r="AF28" s="82"/>
      <c r="AG28" s="82"/>
      <c r="AH28" s="82"/>
      <c r="AI28" s="96"/>
      <c r="AJ28" s="82"/>
      <c r="AK28" s="82"/>
      <c r="AL28" s="82"/>
      <c r="AM28" s="96"/>
      <c r="AN28" s="82"/>
      <c r="AO28" s="82"/>
      <c r="AP28" s="82"/>
      <c r="BJ28" s="1">
        <v>-1</v>
      </c>
      <c r="BK28" s="1">
        <v>0.99924000000000002</v>
      </c>
    </row>
    <row r="29" spans="2:63" ht="21.75" customHeight="1" x14ac:dyDescent="0.25">
      <c r="B29" s="30" t="s">
        <v>38</v>
      </c>
      <c r="C29" s="128">
        <v>1.04325</v>
      </c>
      <c r="D29" s="86"/>
      <c r="E29" s="86"/>
      <c r="F29" s="91"/>
      <c r="G29" s="90">
        <v>1.04325</v>
      </c>
      <c r="H29" s="86"/>
      <c r="I29" s="86"/>
      <c r="J29" s="91"/>
      <c r="K29" s="128"/>
      <c r="L29" s="86"/>
      <c r="M29" s="86"/>
      <c r="N29" s="91"/>
      <c r="O29" s="90"/>
      <c r="P29" s="86"/>
      <c r="Q29" s="86"/>
      <c r="R29" s="91"/>
      <c r="S29" s="85"/>
      <c r="T29" s="86"/>
      <c r="U29" s="86"/>
      <c r="V29" s="86"/>
      <c r="W29" s="90"/>
      <c r="X29" s="86"/>
      <c r="Y29" s="86"/>
      <c r="Z29" s="91"/>
      <c r="AA29" s="97"/>
      <c r="AB29" s="84"/>
      <c r="AC29" s="84"/>
      <c r="AD29" s="84"/>
      <c r="AE29" s="97"/>
      <c r="AF29" s="84"/>
      <c r="AG29" s="84"/>
      <c r="AH29" s="84"/>
      <c r="AI29" s="97"/>
      <c r="AJ29" s="84"/>
      <c r="AK29" s="84"/>
      <c r="AL29" s="84"/>
      <c r="AM29" s="97"/>
      <c r="AN29" s="84"/>
      <c r="AO29" s="84"/>
      <c r="AP29" s="84"/>
      <c r="BJ29" s="1">
        <v>0</v>
      </c>
      <c r="BK29" s="1">
        <v>0.99926000000000004</v>
      </c>
    </row>
    <row r="30" spans="2:63" ht="21.75" customHeight="1" x14ac:dyDescent="0.25">
      <c r="B30" s="24" t="s">
        <v>39</v>
      </c>
      <c r="C30" s="163">
        <f>(C28*C29)</f>
        <v>1.0380296341426873</v>
      </c>
      <c r="D30" s="86"/>
      <c r="E30" s="86"/>
      <c r="F30" s="91"/>
      <c r="G30" s="173">
        <f>(G28*G29)</f>
        <v>1.0450005953457526</v>
      </c>
      <c r="H30" s="86"/>
      <c r="I30" s="86"/>
      <c r="J30" s="91"/>
      <c r="K30" s="163">
        <f>(K28*K29)</f>
        <v>0</v>
      </c>
      <c r="L30" s="86"/>
      <c r="M30" s="86"/>
      <c r="N30" s="91"/>
      <c r="O30" s="163">
        <f>(O28*O29)</f>
        <v>0</v>
      </c>
      <c r="P30" s="86"/>
      <c r="Q30" s="86"/>
      <c r="R30" s="91"/>
      <c r="S30" s="155">
        <f>(S28*S29)</f>
        <v>0</v>
      </c>
      <c r="T30" s="86"/>
      <c r="U30" s="86"/>
      <c r="V30" s="86"/>
      <c r="W30" s="163">
        <f>(W28*W29)</f>
        <v>0</v>
      </c>
      <c r="X30" s="86"/>
      <c r="Y30" s="86"/>
      <c r="Z30" s="91"/>
      <c r="AA30" s="81"/>
      <c r="AB30" s="82"/>
      <c r="AC30" s="82"/>
      <c r="AD30" s="82"/>
      <c r="AE30" s="81"/>
      <c r="AF30" s="82"/>
      <c r="AG30" s="82"/>
      <c r="AH30" s="82"/>
      <c r="AI30" s="81"/>
      <c r="AJ30" s="82"/>
      <c r="AK30" s="82"/>
      <c r="AL30" s="82"/>
      <c r="AM30" s="81"/>
      <c r="AN30" s="82"/>
      <c r="AO30" s="82"/>
      <c r="AP30" s="82"/>
      <c r="BJ30" s="1">
        <v>1</v>
      </c>
      <c r="BK30" s="1">
        <v>0.99926999999999999</v>
      </c>
    </row>
    <row r="31" spans="2:63" ht="20.25" customHeight="1" x14ac:dyDescent="0.25">
      <c r="B31" s="31" t="s">
        <v>40</v>
      </c>
      <c r="C31" s="164"/>
      <c r="D31" s="107"/>
      <c r="E31" s="165"/>
      <c r="F31" s="86"/>
      <c r="G31" s="164"/>
      <c r="H31" s="107"/>
      <c r="I31" s="107"/>
      <c r="J31" s="174"/>
      <c r="K31" s="86"/>
      <c r="L31" s="86"/>
      <c r="M31" s="32"/>
      <c r="N31" s="32"/>
      <c r="O31" s="33"/>
      <c r="P31" s="33"/>
      <c r="Q31" s="3"/>
      <c r="R31" s="164"/>
      <c r="S31" s="107"/>
      <c r="T31" s="107"/>
      <c r="U31" s="107"/>
      <c r="V31" s="176"/>
      <c r="W31" s="86"/>
      <c r="X31" s="86"/>
      <c r="Y31" s="86"/>
      <c r="Z31" s="23"/>
      <c r="AA31" s="23"/>
      <c r="AB31" s="23"/>
      <c r="AC31" s="23"/>
      <c r="AD31" s="23"/>
      <c r="BJ31" s="1">
        <v>2</v>
      </c>
      <c r="BK31" s="1">
        <v>0.99927999999999995</v>
      </c>
    </row>
    <row r="32" spans="2:63" ht="18.75" customHeight="1" x14ac:dyDescent="0.25">
      <c r="B32" s="31" t="s">
        <v>41</v>
      </c>
      <c r="C32" s="34"/>
      <c r="D32" s="34"/>
      <c r="E32" s="32"/>
      <c r="F32" s="35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"/>
      <c r="AB32" s="3"/>
      <c r="AC32" s="3"/>
      <c r="AD32" s="3"/>
      <c r="BJ32" s="1">
        <v>3</v>
      </c>
      <c r="BK32" s="1">
        <v>0.99929000000000001</v>
      </c>
    </row>
    <row r="33" spans="2:63" ht="18.75" customHeight="1" x14ac:dyDescent="0.25">
      <c r="B33" s="31" t="s">
        <v>42</v>
      </c>
      <c r="C33" s="176"/>
      <c r="D33" s="86"/>
      <c r="E33" s="86"/>
      <c r="F33" s="86"/>
      <c r="G33" s="86"/>
      <c r="H33" s="86"/>
      <c r="I33" s="86"/>
      <c r="J33" s="86"/>
      <c r="K33" s="86"/>
      <c r="L33" s="3"/>
      <c r="M33" s="3"/>
      <c r="N33" s="3"/>
      <c r="O33" s="164"/>
      <c r="P33" s="107"/>
      <c r="Q33" s="107"/>
      <c r="R33" s="176"/>
      <c r="S33" s="86"/>
      <c r="T33" s="86"/>
      <c r="U33" s="86"/>
      <c r="V33" s="86"/>
      <c r="W33" s="86"/>
      <c r="X33" s="86"/>
      <c r="Y33" s="86"/>
      <c r="Z33" s="86"/>
      <c r="AA33" s="3"/>
      <c r="AB33" s="3"/>
      <c r="AC33" s="3"/>
      <c r="AD33" s="3"/>
      <c r="BJ33" s="1">
        <v>4</v>
      </c>
      <c r="BK33" s="1">
        <v>0.99931000000000003</v>
      </c>
    </row>
    <row r="34" spans="2:63" ht="14.25" customHeight="1" x14ac:dyDescent="0.25"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BJ34" s="1">
        <v>5</v>
      </c>
      <c r="BK34" s="1">
        <v>0.99931999999999999</v>
      </c>
    </row>
    <row r="35" spans="2:63" ht="15" customHeight="1" x14ac:dyDescent="0.25">
      <c r="B35" s="147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9"/>
      <c r="BJ35" s="1">
        <v>6</v>
      </c>
      <c r="BK35" s="1">
        <v>0.99933000000000005</v>
      </c>
    </row>
    <row r="36" spans="2:63" ht="15" customHeight="1" x14ac:dyDescent="0.25">
      <c r="B36" s="150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151"/>
      <c r="BJ36" s="1">
        <v>7</v>
      </c>
      <c r="BK36" s="1">
        <v>0.99934000000000001</v>
      </c>
    </row>
    <row r="37" spans="2:63" ht="15" customHeight="1" x14ac:dyDescent="0.25">
      <c r="B37" s="150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151"/>
      <c r="BJ37" s="1">
        <v>8</v>
      </c>
      <c r="BK37" s="1">
        <v>0.99936000000000003</v>
      </c>
    </row>
    <row r="38" spans="2:63" ht="15" customHeight="1" x14ac:dyDescent="0.25">
      <c r="B38" s="150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151"/>
      <c r="BJ38" s="1">
        <v>9</v>
      </c>
      <c r="BK38" s="1">
        <v>0.99936999999999998</v>
      </c>
    </row>
    <row r="39" spans="2:63" ht="15" customHeight="1" x14ac:dyDescent="0.25">
      <c r="B39" s="177" t="s">
        <v>43</v>
      </c>
      <c r="C39" s="84"/>
      <c r="D39" s="84"/>
      <c r="E39" s="84"/>
      <c r="F39" s="84"/>
      <c r="G39" s="36"/>
      <c r="H39" s="36"/>
      <c r="I39" s="36"/>
      <c r="J39" s="36"/>
      <c r="K39" s="36"/>
      <c r="L39" s="36"/>
      <c r="M39" s="37"/>
      <c r="N39" s="37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8"/>
      <c r="BJ39" s="1">
        <v>10</v>
      </c>
      <c r="BK39" s="1">
        <v>0.99938000000000005</v>
      </c>
    </row>
    <row r="40" spans="2:63" ht="15" customHeight="1" x14ac:dyDescent="0.25">
      <c r="B40" s="172" t="s">
        <v>44</v>
      </c>
      <c r="C40" s="133"/>
      <c r="D40" s="133"/>
      <c r="E40" s="133"/>
      <c r="F40" s="133"/>
      <c r="G40" s="39"/>
      <c r="H40" s="39"/>
      <c r="I40" s="39"/>
      <c r="J40" s="39"/>
      <c r="K40" s="39"/>
      <c r="L40" s="39"/>
      <c r="M40" s="40"/>
      <c r="N40" s="40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41"/>
      <c r="BJ40" s="1">
        <v>11</v>
      </c>
      <c r="BK40" s="1">
        <v>0.99939</v>
      </c>
    </row>
    <row r="41" spans="2:63" ht="15" customHeight="1" x14ac:dyDescent="0.25">
      <c r="BJ41" s="1">
        <v>12</v>
      </c>
      <c r="BK41" s="1">
        <v>0.99939999999999996</v>
      </c>
    </row>
    <row r="42" spans="2:63" ht="15" customHeight="1" x14ac:dyDescent="0.25">
      <c r="BJ42" s="1">
        <v>13</v>
      </c>
      <c r="BK42" s="1">
        <v>0.99941999999999998</v>
      </c>
    </row>
    <row r="43" spans="2:63" ht="15" customHeight="1" x14ac:dyDescent="0.25">
      <c r="BJ43" s="1">
        <v>14</v>
      </c>
      <c r="BK43" s="1">
        <v>0.99943000000000004</v>
      </c>
    </row>
    <row r="44" spans="2:63" ht="15" customHeight="1" x14ac:dyDescent="0.25">
      <c r="BJ44" s="1">
        <v>15</v>
      </c>
      <c r="BK44" s="1">
        <v>0.99944</v>
      </c>
    </row>
    <row r="45" spans="2:63" ht="15" customHeight="1" x14ac:dyDescent="0.25">
      <c r="BJ45" s="1">
        <v>16</v>
      </c>
      <c r="BK45" s="1">
        <v>0.99944999999999995</v>
      </c>
    </row>
    <row r="46" spans="2:63" ht="15" customHeight="1" x14ac:dyDescent="0.25">
      <c r="BJ46" s="1"/>
      <c r="BK46" s="1"/>
    </row>
    <row r="47" spans="2:63" ht="15" customHeight="1" x14ac:dyDescent="0.25">
      <c r="BJ47" s="1"/>
      <c r="BK47" s="1"/>
    </row>
    <row r="48" spans="2:63" ht="15" customHeight="1" x14ac:dyDescent="0.25">
      <c r="BJ48" s="1"/>
      <c r="BK48" s="1"/>
    </row>
    <row r="49" spans="2:63" ht="15" customHeight="1" x14ac:dyDescent="0.25">
      <c r="BJ49" s="1"/>
      <c r="BK49" s="1"/>
    </row>
    <row r="50" spans="2:63" ht="15" customHeight="1" x14ac:dyDescent="0.25">
      <c r="BJ50" s="1"/>
      <c r="BK50" s="1"/>
    </row>
    <row r="51" spans="2:63" ht="15" customHeight="1" x14ac:dyDescent="0.25">
      <c r="BJ51" s="1"/>
      <c r="BK51" s="1"/>
    </row>
    <row r="52" spans="2:63" ht="15" customHeight="1" x14ac:dyDescent="0.25">
      <c r="BJ52" s="1"/>
      <c r="BK52" s="1"/>
    </row>
    <row r="53" spans="2:63" ht="15" customHeight="1" x14ac:dyDescent="0.25">
      <c r="BJ53" s="1"/>
      <c r="BK53" s="1"/>
    </row>
    <row r="54" spans="2:63" ht="15" customHeight="1" x14ac:dyDescent="0.25">
      <c r="BJ54" s="1"/>
      <c r="BK54" s="1"/>
    </row>
    <row r="55" spans="2:63" ht="15" customHeight="1" x14ac:dyDescent="0.25">
      <c r="B55" s="42" t="s">
        <v>45</v>
      </c>
      <c r="C55" s="42"/>
      <c r="D55" s="42"/>
      <c r="E55" s="42"/>
      <c r="F55" s="42"/>
      <c r="G55" s="42"/>
      <c r="H55" s="42"/>
      <c r="BJ55" s="1"/>
      <c r="BK55" s="1"/>
    </row>
    <row r="56" spans="2:63" ht="15" customHeight="1" x14ac:dyDescent="0.25">
      <c r="B56" s="32" t="s">
        <v>46</v>
      </c>
      <c r="C56" s="32"/>
      <c r="D56" s="32"/>
      <c r="E56" s="32"/>
      <c r="F56" s="32"/>
      <c r="G56" s="32"/>
      <c r="H56" s="32"/>
      <c r="BJ56" s="1"/>
      <c r="BK56" s="1"/>
    </row>
    <row r="57" spans="2:63" ht="15" customHeight="1" x14ac:dyDescent="0.25">
      <c r="B57" s="32" t="s">
        <v>47</v>
      </c>
      <c r="C57" s="32"/>
      <c r="D57" s="32"/>
      <c r="E57" s="32"/>
      <c r="F57" s="32"/>
      <c r="G57" s="32"/>
      <c r="H57" s="32"/>
      <c r="BJ57" s="1"/>
      <c r="BK57" s="1"/>
    </row>
    <row r="58" spans="2:63" ht="15" customHeight="1" x14ac:dyDescent="0.25">
      <c r="B58" s="32" t="s">
        <v>48</v>
      </c>
      <c r="C58" s="32"/>
      <c r="D58" s="32"/>
      <c r="E58" s="32"/>
      <c r="F58" s="32"/>
      <c r="G58" s="32"/>
      <c r="H58" s="32"/>
      <c r="BJ58" s="1"/>
      <c r="BK58" s="1"/>
    </row>
    <row r="59" spans="2:63" ht="15" customHeight="1" x14ac:dyDescent="0.25">
      <c r="B59" s="32" t="s">
        <v>49</v>
      </c>
      <c r="C59" s="32"/>
      <c r="D59" s="32"/>
      <c r="E59" s="32"/>
      <c r="F59" s="32"/>
      <c r="G59" s="32"/>
      <c r="H59" s="32"/>
      <c r="BJ59" s="1"/>
      <c r="BK59" s="1"/>
    </row>
    <row r="60" spans="2:63" ht="15" customHeight="1" x14ac:dyDescent="0.25">
      <c r="B60" s="32" t="s">
        <v>50</v>
      </c>
      <c r="C60" s="32"/>
      <c r="D60" s="32"/>
      <c r="E60" s="32"/>
      <c r="F60" s="32"/>
      <c r="G60" s="32"/>
      <c r="H60" s="32"/>
      <c r="BJ60" s="1"/>
      <c r="BK60" s="1"/>
    </row>
    <row r="61" spans="2:63" ht="15" customHeight="1" x14ac:dyDescent="0.25">
      <c r="B61" s="32" t="s">
        <v>51</v>
      </c>
      <c r="C61" s="32"/>
      <c r="D61" s="32"/>
      <c r="E61" s="32"/>
      <c r="F61" s="43"/>
      <c r="G61" s="32"/>
      <c r="H61" s="32"/>
      <c r="BJ61" s="1"/>
      <c r="BK61" s="1"/>
    </row>
    <row r="62" spans="2:63" ht="15" customHeight="1" x14ac:dyDescent="0.25">
      <c r="B62" s="32" t="s">
        <v>52</v>
      </c>
      <c r="C62" s="32"/>
      <c r="D62" s="32"/>
      <c r="E62" s="32"/>
      <c r="F62" s="43"/>
      <c r="G62" s="32"/>
      <c r="H62" s="32"/>
      <c r="BJ62" s="1"/>
      <c r="BK62" s="1"/>
    </row>
    <row r="63" spans="2:63" ht="15" customHeight="1" x14ac:dyDescent="0.25">
      <c r="B63" s="32" t="s">
        <v>53</v>
      </c>
      <c r="C63" s="32"/>
      <c r="D63" s="32"/>
      <c r="E63" s="32"/>
      <c r="F63" s="43"/>
      <c r="G63" s="32"/>
      <c r="H63" s="32"/>
      <c r="BJ63" s="1"/>
      <c r="BK63" s="1"/>
    </row>
    <row r="64" spans="2:63" ht="15" customHeight="1" x14ac:dyDescent="0.25">
      <c r="B64" s="44" t="s">
        <v>54</v>
      </c>
      <c r="C64" s="44"/>
      <c r="D64" s="44"/>
      <c r="E64" s="44"/>
      <c r="F64" s="45"/>
      <c r="G64" s="44"/>
      <c r="H64" s="44"/>
      <c r="BJ64" s="1"/>
      <c r="BK64" s="1"/>
    </row>
    <row r="65" spans="2:63" ht="15" customHeight="1" x14ac:dyDescent="0.25">
      <c r="BJ65" s="1"/>
      <c r="BK65" s="1"/>
    </row>
    <row r="66" spans="2:63" ht="15" customHeight="1" x14ac:dyDescent="0.25">
      <c r="B66" s="142" t="s">
        <v>55</v>
      </c>
      <c r="C66" s="82"/>
      <c r="D66" s="82"/>
      <c r="E66" s="82"/>
      <c r="F66" s="82"/>
      <c r="G66" s="82"/>
      <c r="H66" s="82"/>
      <c r="I66" s="82"/>
      <c r="J66" s="82"/>
      <c r="BJ66" s="1"/>
      <c r="BK66" s="1"/>
    </row>
    <row r="67" spans="2:63" ht="12" customHeight="1" x14ac:dyDescent="0.25">
      <c r="B67" t="s">
        <v>56</v>
      </c>
      <c r="BJ67" s="1"/>
      <c r="BK67" s="1"/>
    </row>
    <row r="68" spans="2:63" ht="12" customHeight="1" x14ac:dyDescent="0.25">
      <c r="B68" t="s">
        <v>57</v>
      </c>
      <c r="BJ68" s="1"/>
      <c r="BK68" s="1"/>
    </row>
    <row r="69" spans="2:63" ht="12" customHeight="1" x14ac:dyDescent="0.25">
      <c r="B69" s="4" t="s">
        <v>58</v>
      </c>
      <c r="BJ69" s="1">
        <v>17</v>
      </c>
      <c r="BK69" s="1">
        <v>0.99946999999999997</v>
      </c>
    </row>
    <row r="70" spans="2:63" ht="12" customHeight="1" x14ac:dyDescent="0.25">
      <c r="B70" s="4" t="s">
        <v>59</v>
      </c>
      <c r="BJ70" s="1">
        <v>18</v>
      </c>
      <c r="BK70" s="1">
        <v>0.99948000000000004</v>
      </c>
    </row>
    <row r="71" spans="2:63" ht="12" customHeight="1" x14ac:dyDescent="0.25">
      <c r="B71" s="4"/>
      <c r="BJ71" s="1">
        <v>19</v>
      </c>
      <c r="BK71" s="1">
        <v>0.99948999999999999</v>
      </c>
    </row>
    <row r="72" spans="2:63" ht="12" customHeight="1" x14ac:dyDescent="0.25">
      <c r="B72" t="s">
        <v>60</v>
      </c>
      <c r="BJ72" s="1">
        <v>20</v>
      </c>
      <c r="BK72" s="1">
        <v>0.99950000000000006</v>
      </c>
    </row>
    <row r="73" spans="2:63" ht="12" customHeight="1" x14ac:dyDescent="0.25">
      <c r="B73" t="s">
        <v>61</v>
      </c>
      <c r="BJ73" s="1">
        <v>21</v>
      </c>
      <c r="BK73" s="1">
        <v>0.99951999999999996</v>
      </c>
    </row>
    <row r="74" spans="2:63" ht="12" customHeight="1" x14ac:dyDescent="0.25">
      <c r="B74" s="4" t="s">
        <v>62</v>
      </c>
      <c r="BJ74" s="1">
        <v>22</v>
      </c>
      <c r="BK74" s="1">
        <v>0.99953000000000003</v>
      </c>
    </row>
    <row r="75" spans="2:63" ht="12" customHeight="1" x14ac:dyDescent="0.25">
      <c r="B75" s="4"/>
      <c r="BJ75" s="1">
        <v>23</v>
      </c>
      <c r="BK75" s="1">
        <v>0.99953000000000003</v>
      </c>
    </row>
    <row r="76" spans="2:63" ht="12" customHeight="1" x14ac:dyDescent="0.25">
      <c r="B76" t="s">
        <v>63</v>
      </c>
      <c r="BJ76" s="1">
        <v>24</v>
      </c>
      <c r="BK76" s="1">
        <v>0.99955000000000005</v>
      </c>
    </row>
    <row r="77" spans="2:63" ht="12" customHeight="1" x14ac:dyDescent="0.25">
      <c r="B77" s="4" t="s">
        <v>64</v>
      </c>
      <c r="BJ77" s="1">
        <v>25</v>
      </c>
      <c r="BK77" s="1">
        <v>0.99956999999999996</v>
      </c>
    </row>
    <row r="78" spans="2:63" ht="12" customHeight="1" x14ac:dyDescent="0.25">
      <c r="B78" s="4" t="s">
        <v>65</v>
      </c>
      <c r="BJ78" s="1">
        <v>26</v>
      </c>
      <c r="BK78" s="1">
        <v>0.99958000000000002</v>
      </c>
    </row>
    <row r="79" spans="2:63" ht="12" customHeight="1" x14ac:dyDescent="0.25">
      <c r="B79" s="4"/>
      <c r="BJ79" s="1">
        <v>27</v>
      </c>
      <c r="BK79" s="1">
        <v>0.99958999999999998</v>
      </c>
    </row>
    <row r="80" spans="2:63" ht="12" customHeight="1" x14ac:dyDescent="0.25">
      <c r="B80" t="s">
        <v>66</v>
      </c>
      <c r="BJ80" s="1">
        <v>28</v>
      </c>
      <c r="BK80" s="1">
        <v>0.99960000000000004</v>
      </c>
    </row>
    <row r="81" spans="2:63" ht="12" customHeight="1" x14ac:dyDescent="0.25">
      <c r="B81" t="s">
        <v>67</v>
      </c>
      <c r="BJ81" s="1">
        <v>29</v>
      </c>
      <c r="BK81" s="1">
        <v>0.99961999999999995</v>
      </c>
    </row>
    <row r="82" spans="2:63" ht="12" customHeight="1" x14ac:dyDescent="0.25">
      <c r="BJ82" s="1">
        <v>30</v>
      </c>
      <c r="BK82" s="1">
        <v>0.99963000000000002</v>
      </c>
    </row>
    <row r="83" spans="2:63" ht="12" customHeight="1" x14ac:dyDescent="0.25">
      <c r="B83" s="4" t="s">
        <v>68</v>
      </c>
      <c r="BJ83" s="1">
        <v>31</v>
      </c>
      <c r="BK83" s="1">
        <v>0.99963999999999997</v>
      </c>
    </row>
    <row r="84" spans="2:63" ht="12" customHeight="1" x14ac:dyDescent="0.25">
      <c r="B84" s="4" t="s">
        <v>69</v>
      </c>
      <c r="BJ84" s="1">
        <v>32</v>
      </c>
      <c r="BK84" s="1">
        <v>0.99965000000000004</v>
      </c>
    </row>
    <row r="85" spans="2:63" ht="12" customHeight="1" x14ac:dyDescent="0.25">
      <c r="B85" s="4" t="s">
        <v>70</v>
      </c>
      <c r="BJ85" s="1">
        <v>33</v>
      </c>
      <c r="BK85" s="1">
        <v>0.99966999999999995</v>
      </c>
    </row>
    <row r="86" spans="2:63" ht="12" customHeight="1" x14ac:dyDescent="0.25">
      <c r="BJ86" s="1">
        <v>34</v>
      </c>
      <c r="BK86" s="1">
        <v>0.99968000000000001</v>
      </c>
    </row>
    <row r="87" spans="2:63" ht="12" customHeight="1" x14ac:dyDescent="0.25">
      <c r="B87" s="46" t="s">
        <v>71</v>
      </c>
      <c r="BJ87" s="1">
        <v>35</v>
      </c>
      <c r="BK87" s="1">
        <v>0.99968999999999997</v>
      </c>
    </row>
    <row r="88" spans="2:63" ht="12" customHeight="1" x14ac:dyDescent="0.25">
      <c r="B88" t="s">
        <v>72</v>
      </c>
      <c r="BJ88" s="1">
        <v>36</v>
      </c>
      <c r="BK88" s="1">
        <v>0.99970000000000003</v>
      </c>
    </row>
    <row r="89" spans="2:63" ht="12" customHeight="1" x14ac:dyDescent="0.25">
      <c r="BJ89" s="1">
        <v>37</v>
      </c>
      <c r="BK89" s="1">
        <v>0.99970999999999999</v>
      </c>
    </row>
    <row r="90" spans="2:63" ht="12" customHeight="1" x14ac:dyDescent="0.25">
      <c r="B90" t="s">
        <v>73</v>
      </c>
      <c r="BJ90" s="1">
        <v>38</v>
      </c>
      <c r="BK90" s="1">
        <v>0.99973000000000001</v>
      </c>
    </row>
    <row r="91" spans="2:63" ht="12" customHeight="1" x14ac:dyDescent="0.25">
      <c r="B91" t="s">
        <v>74</v>
      </c>
      <c r="BJ91" s="1">
        <v>39</v>
      </c>
      <c r="BK91" s="1">
        <v>0.99973999999999996</v>
      </c>
    </row>
    <row r="92" spans="2:63" ht="12" customHeight="1" x14ac:dyDescent="0.25">
      <c r="BJ92" s="1">
        <v>40</v>
      </c>
      <c r="BK92" s="1">
        <v>0.99975000000000003</v>
      </c>
    </row>
    <row r="93" spans="2:63" ht="12" customHeight="1" x14ac:dyDescent="0.25">
      <c r="B93" t="s">
        <v>75</v>
      </c>
      <c r="BJ93" s="1">
        <v>41</v>
      </c>
      <c r="BK93" s="1">
        <v>0.99975999999999998</v>
      </c>
    </row>
    <row r="94" spans="2:63" ht="12" customHeight="1" x14ac:dyDescent="0.25">
      <c r="B94" t="s">
        <v>76</v>
      </c>
      <c r="BJ94" s="1">
        <v>42</v>
      </c>
      <c r="BK94" s="1">
        <v>0.99978</v>
      </c>
    </row>
    <row r="95" spans="2:63" ht="12" customHeight="1" x14ac:dyDescent="0.25">
      <c r="BJ95" s="1">
        <v>43</v>
      </c>
      <c r="BK95" s="1">
        <v>0.99978999999999996</v>
      </c>
    </row>
    <row r="96" spans="2:63" ht="12" customHeight="1" x14ac:dyDescent="0.25">
      <c r="B96" s="4" t="s">
        <v>77</v>
      </c>
      <c r="BJ96" s="1">
        <v>44</v>
      </c>
      <c r="BK96" s="1">
        <v>0.99980000000000002</v>
      </c>
    </row>
    <row r="97" spans="2:63" ht="12" customHeight="1" x14ac:dyDescent="0.25">
      <c r="B97" t="s">
        <v>78</v>
      </c>
      <c r="BJ97" s="1">
        <v>45</v>
      </c>
      <c r="BK97" s="1">
        <v>0.99980999999999998</v>
      </c>
    </row>
    <row r="98" spans="2:63" ht="12" customHeight="1" x14ac:dyDescent="0.25">
      <c r="BJ98" s="1">
        <v>46</v>
      </c>
      <c r="BK98" s="1">
        <v>0.99983</v>
      </c>
    </row>
    <row r="99" spans="2:63" ht="12" customHeight="1" x14ac:dyDescent="0.25">
      <c r="B99" s="4" t="s">
        <v>79</v>
      </c>
      <c r="BJ99" s="1">
        <v>47</v>
      </c>
      <c r="BK99" s="1">
        <v>0.99983999999999995</v>
      </c>
    </row>
    <row r="100" spans="2:63" ht="12" customHeight="1" x14ac:dyDescent="0.25">
      <c r="B100" t="s">
        <v>80</v>
      </c>
      <c r="BJ100" s="1">
        <v>48</v>
      </c>
      <c r="BK100" s="1">
        <v>0.99985000000000002</v>
      </c>
    </row>
    <row r="101" spans="2:63" ht="12" customHeight="1" x14ac:dyDescent="0.25">
      <c r="B101" s="4" t="s">
        <v>81</v>
      </c>
      <c r="BJ101" s="1">
        <v>49</v>
      </c>
      <c r="BK101" s="1">
        <v>0.99985999999999997</v>
      </c>
    </row>
    <row r="102" spans="2:63" ht="12" customHeight="1" x14ac:dyDescent="0.25">
      <c r="BJ102" s="1">
        <v>50</v>
      </c>
      <c r="BK102" s="1">
        <v>0.99987999999999999</v>
      </c>
    </row>
    <row r="103" spans="2:63" ht="12" customHeight="1" x14ac:dyDescent="0.25">
      <c r="B103" t="s">
        <v>82</v>
      </c>
      <c r="BJ103" s="1">
        <v>51</v>
      </c>
      <c r="BK103" s="1">
        <v>0.99988999999999995</v>
      </c>
    </row>
    <row r="104" spans="2:63" ht="12" customHeight="1" x14ac:dyDescent="0.25">
      <c r="BJ104" s="1">
        <v>52</v>
      </c>
      <c r="BK104" s="1">
        <v>0.99990000000000001</v>
      </c>
    </row>
    <row r="105" spans="2:63" ht="12" customHeight="1" x14ac:dyDescent="0.25">
      <c r="B105" t="s">
        <v>83</v>
      </c>
      <c r="BJ105" s="1">
        <v>53</v>
      </c>
      <c r="BK105" s="1">
        <v>0.99990999999999997</v>
      </c>
    </row>
    <row r="106" spans="2:63" ht="12" customHeight="1" x14ac:dyDescent="0.25">
      <c r="BJ106" s="1">
        <v>54</v>
      </c>
      <c r="BK106" s="1">
        <v>0.99992999999999999</v>
      </c>
    </row>
    <row r="107" spans="2:63" ht="12" customHeight="1" x14ac:dyDescent="0.25">
      <c r="B107" t="s">
        <v>84</v>
      </c>
      <c r="BJ107" s="1">
        <v>55</v>
      </c>
      <c r="BK107" s="1">
        <v>0.99994000000000005</v>
      </c>
    </row>
    <row r="108" spans="2:63" ht="12" customHeight="1" x14ac:dyDescent="0.25">
      <c r="BJ108" s="1">
        <v>56</v>
      </c>
      <c r="BK108" s="1">
        <v>0.99995000000000001</v>
      </c>
    </row>
    <row r="109" spans="2:63" ht="12" customHeight="1" x14ac:dyDescent="0.25">
      <c r="B109" t="s">
        <v>85</v>
      </c>
      <c r="BJ109" s="1">
        <v>57</v>
      </c>
      <c r="BK109" s="1">
        <v>0.99995999999999996</v>
      </c>
    </row>
    <row r="110" spans="2:63" ht="12" customHeight="1" x14ac:dyDescent="0.25">
      <c r="B110" t="s">
        <v>86</v>
      </c>
      <c r="BJ110" s="1">
        <v>58</v>
      </c>
      <c r="BK110" s="1">
        <v>0.99997999999999998</v>
      </c>
    </row>
    <row r="111" spans="2:63" ht="12" customHeight="1" x14ac:dyDescent="0.25">
      <c r="B111" s="4" t="s">
        <v>87</v>
      </c>
      <c r="BJ111" s="1">
        <v>59</v>
      </c>
      <c r="BK111" s="1">
        <v>0.99999000000000005</v>
      </c>
    </row>
    <row r="112" spans="2:63" ht="12" customHeight="1" x14ac:dyDescent="0.25">
      <c r="B112" s="4"/>
      <c r="BJ112" s="1">
        <v>60</v>
      </c>
      <c r="BK112" s="1">
        <v>1</v>
      </c>
    </row>
    <row r="113" spans="2:63" ht="12" customHeight="1" x14ac:dyDescent="0.25">
      <c r="B113" t="s">
        <v>88</v>
      </c>
      <c r="BJ113" s="1">
        <v>61</v>
      </c>
      <c r="BK113" s="1">
        <v>1.0000100000000001</v>
      </c>
    </row>
    <row r="114" spans="2:63" ht="12" customHeight="1" x14ac:dyDescent="0.25">
      <c r="BJ114" s="1">
        <v>62</v>
      </c>
      <c r="BK114" s="1">
        <v>1.0000199999999999</v>
      </c>
    </row>
    <row r="115" spans="2:63" ht="12" customHeight="1" x14ac:dyDescent="0.25">
      <c r="B115" t="s">
        <v>89</v>
      </c>
      <c r="BJ115" s="1">
        <v>63</v>
      </c>
      <c r="BK115" s="1">
        <v>1.00004</v>
      </c>
    </row>
    <row r="116" spans="2:63" ht="12" customHeight="1" x14ac:dyDescent="0.25">
      <c r="B116" t="s">
        <v>90</v>
      </c>
      <c r="BJ116" s="1">
        <v>64</v>
      </c>
      <c r="BK116" s="1">
        <v>1.0000500000000001</v>
      </c>
    </row>
    <row r="117" spans="2:63" ht="12" customHeight="1" x14ac:dyDescent="0.25">
      <c r="BJ117" s="1">
        <v>65</v>
      </c>
      <c r="BK117" s="1">
        <v>1.0000599999999999</v>
      </c>
    </row>
    <row r="118" spans="2:63" ht="12" customHeight="1" x14ac:dyDescent="0.25">
      <c r="B118" t="s">
        <v>91</v>
      </c>
      <c r="BJ118" s="1">
        <v>66</v>
      </c>
      <c r="BK118" s="1">
        <v>1.00007</v>
      </c>
    </row>
    <row r="119" spans="2:63" ht="12" customHeight="1" x14ac:dyDescent="0.25">
      <c r="B119" t="s">
        <v>92</v>
      </c>
      <c r="BJ119" s="1">
        <v>67</v>
      </c>
      <c r="BK119" s="1">
        <v>1.0000899999999999</v>
      </c>
    </row>
    <row r="120" spans="2:63" ht="12" customHeight="1" x14ac:dyDescent="0.25">
      <c r="BJ120" s="1">
        <v>68</v>
      </c>
      <c r="BK120" s="1">
        <v>1.0001</v>
      </c>
    </row>
    <row r="121" spans="2:63" ht="12" customHeight="1" x14ac:dyDescent="0.25">
      <c r="B121" t="s">
        <v>93</v>
      </c>
      <c r="BJ121" s="1">
        <v>69</v>
      </c>
      <c r="BK121" s="1">
        <v>1.0001100000000001</v>
      </c>
    </row>
    <row r="122" spans="2:63" ht="12" customHeight="1" x14ac:dyDescent="0.25">
      <c r="BJ122" s="1">
        <v>70</v>
      </c>
      <c r="BK122" s="1">
        <v>1.0001199999999999</v>
      </c>
    </row>
    <row r="123" spans="2:63" ht="12" customHeight="1" x14ac:dyDescent="0.25">
      <c r="B123" t="s">
        <v>94</v>
      </c>
      <c r="BJ123" s="1">
        <v>71</v>
      </c>
      <c r="BK123" s="1">
        <v>1.00014</v>
      </c>
    </row>
    <row r="124" spans="2:63" ht="12" customHeight="1" x14ac:dyDescent="0.25">
      <c r="B124" t="s">
        <v>95</v>
      </c>
      <c r="BJ124" s="1">
        <v>72</v>
      </c>
      <c r="BK124" s="1">
        <v>1.0001500000000001</v>
      </c>
    </row>
    <row r="125" spans="2:63" ht="12" customHeight="1" x14ac:dyDescent="0.25">
      <c r="BJ125" s="1">
        <v>73</v>
      </c>
      <c r="BK125" s="1">
        <v>1.0001599999999999</v>
      </c>
    </row>
    <row r="126" spans="2:63" ht="12" customHeight="1" x14ac:dyDescent="0.25">
      <c r="B126" s="4" t="s">
        <v>96</v>
      </c>
      <c r="BJ126" s="1">
        <v>74</v>
      </c>
      <c r="BK126" s="1">
        <v>1.00017</v>
      </c>
    </row>
    <row r="127" spans="2:63" ht="12" customHeight="1" x14ac:dyDescent="0.25">
      <c r="B127" s="4"/>
      <c r="BJ127" s="1">
        <v>75</v>
      </c>
      <c r="BK127" s="1">
        <v>1.0001899999999999</v>
      </c>
    </row>
    <row r="128" spans="2:63" ht="12" customHeight="1" x14ac:dyDescent="0.25">
      <c r="B128" t="s">
        <v>97</v>
      </c>
      <c r="BJ128" s="1">
        <v>76</v>
      </c>
      <c r="BK128" s="1">
        <v>1.0002</v>
      </c>
    </row>
    <row r="129" spans="2:63" ht="12" customHeight="1" x14ac:dyDescent="0.25">
      <c r="B129" s="4" t="s">
        <v>98</v>
      </c>
      <c r="BJ129" s="1">
        <v>77</v>
      </c>
      <c r="BK129" s="1">
        <v>1.00021</v>
      </c>
    </row>
    <row r="130" spans="2:63" ht="12" customHeight="1" x14ac:dyDescent="0.25">
      <c r="B130" s="47" t="s">
        <v>99</v>
      </c>
      <c r="BJ130" s="1">
        <v>78</v>
      </c>
      <c r="BK130" s="1">
        <v>1.0002200000000001</v>
      </c>
    </row>
    <row r="131" spans="2:63" ht="12" customHeight="1" x14ac:dyDescent="0.25">
      <c r="B131" s="47" t="s">
        <v>100</v>
      </c>
      <c r="BJ131" s="1">
        <v>79</v>
      </c>
      <c r="BK131" s="1">
        <v>1.00024</v>
      </c>
    </row>
    <row r="132" spans="2:63" ht="15" customHeight="1" x14ac:dyDescent="0.25">
      <c r="BJ132" s="1">
        <v>80</v>
      </c>
      <c r="BK132" s="1">
        <v>1.0002500000000001</v>
      </c>
    </row>
    <row r="133" spans="2:63" ht="15" customHeight="1" x14ac:dyDescent="0.25">
      <c r="BJ133" s="1">
        <v>81</v>
      </c>
      <c r="BK133" s="1">
        <v>1.0002599999999999</v>
      </c>
    </row>
    <row r="134" spans="2:63" ht="15" customHeight="1" x14ac:dyDescent="0.25">
      <c r="BJ134" s="1">
        <v>82</v>
      </c>
      <c r="BK134" s="1">
        <v>1.00027</v>
      </c>
    </row>
    <row r="135" spans="2:63" ht="15" customHeight="1" x14ac:dyDescent="0.25">
      <c r="BJ135" s="1">
        <v>83</v>
      </c>
      <c r="BK135" s="1">
        <v>1.0002899999999999</v>
      </c>
    </row>
    <row r="136" spans="2:63" ht="15" customHeight="1" x14ac:dyDescent="0.25">
      <c r="BJ136" s="1">
        <v>84</v>
      </c>
      <c r="BK136" s="1">
        <v>1.0003</v>
      </c>
    </row>
    <row r="137" spans="2:63" ht="15" customHeight="1" x14ac:dyDescent="0.25">
      <c r="BJ137" s="1">
        <v>85</v>
      </c>
      <c r="BK137" s="1">
        <v>1.00031</v>
      </c>
    </row>
    <row r="138" spans="2:63" ht="15" customHeight="1" x14ac:dyDescent="0.25">
      <c r="BJ138" s="1">
        <v>86</v>
      </c>
      <c r="BK138" s="1">
        <v>1.0003200000000001</v>
      </c>
    </row>
    <row r="139" spans="2:63" ht="15" customHeight="1" x14ac:dyDescent="0.25">
      <c r="BJ139" s="1">
        <v>87</v>
      </c>
      <c r="BK139" s="1">
        <v>1.0003299999999999</v>
      </c>
    </row>
    <row r="140" spans="2:63" ht="15" customHeight="1" x14ac:dyDescent="0.25">
      <c r="BJ140" s="1">
        <v>88</v>
      </c>
      <c r="BK140" s="1">
        <v>1.0003500000000001</v>
      </c>
    </row>
    <row r="141" spans="2:63" ht="15" customHeight="1" x14ac:dyDescent="0.25">
      <c r="BJ141" s="1">
        <v>89</v>
      </c>
      <c r="BK141" s="1">
        <v>1.0003599999999999</v>
      </c>
    </row>
    <row r="142" spans="2:63" ht="15" customHeight="1" x14ac:dyDescent="0.25">
      <c r="BJ142" s="1">
        <v>90</v>
      </c>
      <c r="BK142" s="1">
        <v>1.00037</v>
      </c>
    </row>
    <row r="143" spans="2:63" ht="15" customHeight="1" x14ac:dyDescent="0.25">
      <c r="BJ143" s="1">
        <v>91</v>
      </c>
      <c r="BK143" s="1">
        <v>1.00038</v>
      </c>
    </row>
    <row r="144" spans="2:63" ht="15" customHeight="1" x14ac:dyDescent="0.25">
      <c r="BJ144" s="1">
        <v>92</v>
      </c>
      <c r="BK144" s="1">
        <v>1.0004</v>
      </c>
    </row>
    <row r="145" spans="2:63" ht="15" customHeight="1" x14ac:dyDescent="0.25">
      <c r="BJ145" s="1">
        <v>93</v>
      </c>
      <c r="BK145" s="1">
        <v>1.00041</v>
      </c>
    </row>
    <row r="146" spans="2:63" ht="15" customHeight="1" x14ac:dyDescent="0.25">
      <c r="BJ146" s="1">
        <v>94</v>
      </c>
      <c r="BK146" s="1">
        <v>100042</v>
      </c>
    </row>
    <row r="147" spans="2:63" ht="15" customHeight="1" x14ac:dyDescent="0.25">
      <c r="BJ147" s="1">
        <v>95</v>
      </c>
      <c r="BK147" s="1">
        <v>1.0004299999999999</v>
      </c>
    </row>
    <row r="148" spans="2:63" ht="15" customHeight="1" x14ac:dyDescent="0.25">
      <c r="BJ148" s="1">
        <v>96</v>
      </c>
      <c r="BK148" s="1">
        <v>1.0004500000000001</v>
      </c>
    </row>
    <row r="149" spans="2:63" ht="15" customHeight="1" x14ac:dyDescent="0.25">
      <c r="BJ149" s="1">
        <v>97</v>
      </c>
      <c r="BK149" s="1">
        <v>1.0004599999999999</v>
      </c>
    </row>
    <row r="150" spans="2:63" ht="15" customHeight="1" x14ac:dyDescent="0.25">
      <c r="BJ150" s="1">
        <v>98</v>
      </c>
      <c r="BK150" s="1">
        <v>1.00047</v>
      </c>
    </row>
    <row r="151" spans="2:63" ht="15" customHeight="1" x14ac:dyDescent="0.25">
      <c r="B151" s="1"/>
      <c r="C151" s="1"/>
      <c r="D151" s="1"/>
      <c r="E151" s="1"/>
      <c r="F151" s="1"/>
      <c r="BJ151" s="1">
        <v>99</v>
      </c>
      <c r="BK151" s="1">
        <v>1.00048</v>
      </c>
    </row>
    <row r="152" spans="2:63" ht="15" customHeight="1" x14ac:dyDescent="0.25">
      <c r="BJ152" s="1">
        <v>100</v>
      </c>
      <c r="BK152" s="1">
        <v>1.0004999999999999</v>
      </c>
    </row>
    <row r="153" spans="2:63" ht="15" customHeight="1" x14ac:dyDescent="0.25">
      <c r="BJ153" s="1">
        <v>101</v>
      </c>
      <c r="BK153" s="1">
        <v>1.00051</v>
      </c>
    </row>
    <row r="154" spans="2:63" ht="18" customHeight="1" x14ac:dyDescent="0.45">
      <c r="B154" s="1"/>
      <c r="C154" s="48"/>
      <c r="D154" s="1"/>
      <c r="BJ154" s="1">
        <v>102</v>
      </c>
      <c r="BK154" s="1">
        <v>1.0005200000000001</v>
      </c>
    </row>
    <row r="155" spans="2:63" ht="15" customHeight="1" x14ac:dyDescent="0.25">
      <c r="B155" s="1"/>
      <c r="C155" s="1"/>
      <c r="D155" s="1"/>
      <c r="BJ155" s="1">
        <v>103</v>
      </c>
      <c r="BK155" s="1">
        <v>1.0005299999999999</v>
      </c>
    </row>
    <row r="156" spans="2:63" ht="15" customHeight="1" x14ac:dyDescent="0.25">
      <c r="B156" s="1"/>
      <c r="C156" s="1"/>
      <c r="D156" s="1"/>
      <c r="BJ156" s="1">
        <v>104</v>
      </c>
      <c r="BK156" s="1">
        <v>1.0005500000000001</v>
      </c>
    </row>
    <row r="157" spans="2:63" ht="15" customHeight="1" x14ac:dyDescent="0.25">
      <c r="B157" s="1"/>
      <c r="C157" s="1"/>
      <c r="D157" s="1"/>
      <c r="BJ157" s="1">
        <v>105</v>
      </c>
      <c r="BK157" s="1">
        <v>1.0005599999999999</v>
      </c>
    </row>
    <row r="158" spans="2:63" ht="18" customHeight="1" x14ac:dyDescent="0.45">
      <c r="B158" s="1"/>
      <c r="C158" s="48"/>
      <c r="D158" s="1"/>
      <c r="BJ158" s="1">
        <v>106</v>
      </c>
      <c r="BK158" s="1">
        <v>1.00057</v>
      </c>
    </row>
    <row r="159" spans="2:63" ht="15" customHeight="1" x14ac:dyDescent="0.25">
      <c r="B159" s="1"/>
      <c r="C159" s="1"/>
      <c r="D159" s="1"/>
      <c r="BJ159" s="1">
        <v>107</v>
      </c>
      <c r="BK159" s="1">
        <v>1.00058</v>
      </c>
    </row>
    <row r="160" spans="2:63" ht="18" customHeight="1" x14ac:dyDescent="0.45">
      <c r="B160" s="1"/>
      <c r="C160" s="48"/>
      <c r="D160" s="1"/>
      <c r="BJ160" s="1">
        <v>108</v>
      </c>
      <c r="BK160" s="1">
        <v>1.0005999999999999</v>
      </c>
    </row>
    <row r="161" spans="2:63" ht="18" customHeight="1" x14ac:dyDescent="0.45">
      <c r="B161" s="1"/>
      <c r="C161" s="48"/>
      <c r="D161" s="1"/>
      <c r="BJ161" s="1">
        <v>109</v>
      </c>
      <c r="BK161" s="1">
        <v>1.00061</v>
      </c>
    </row>
    <row r="162" spans="2:63" ht="18" customHeight="1" x14ac:dyDescent="0.45">
      <c r="B162" s="1"/>
      <c r="C162" s="48"/>
      <c r="D162" s="1"/>
      <c r="BJ162" s="1">
        <v>110</v>
      </c>
      <c r="BK162" s="1">
        <v>1.0006200000000001</v>
      </c>
    </row>
    <row r="163" spans="2:63" ht="18" customHeight="1" x14ac:dyDescent="0.45">
      <c r="B163" s="1"/>
      <c r="C163" s="48"/>
      <c r="D163" s="1"/>
      <c r="BJ163" s="1">
        <v>111</v>
      </c>
      <c r="BK163" s="1">
        <v>1.0006299999999999</v>
      </c>
    </row>
    <row r="164" spans="2:63" ht="18" customHeight="1" x14ac:dyDescent="0.45">
      <c r="B164" s="1"/>
      <c r="C164" s="48"/>
      <c r="D164" s="1"/>
      <c r="BJ164" s="1">
        <v>112</v>
      </c>
      <c r="BK164" s="1">
        <v>1.00064</v>
      </c>
    </row>
    <row r="165" spans="2:63" ht="18" customHeight="1" x14ac:dyDescent="0.45">
      <c r="B165" s="1"/>
      <c r="C165" s="48"/>
      <c r="D165" s="1"/>
      <c r="BJ165" s="1">
        <v>113</v>
      </c>
      <c r="BK165" s="1">
        <v>1.0006600000000001</v>
      </c>
    </row>
    <row r="166" spans="2:63" ht="15" customHeight="1" x14ac:dyDescent="0.25">
      <c r="B166" s="1"/>
      <c r="C166" s="1"/>
      <c r="D166" s="1"/>
      <c r="BJ166" s="1">
        <v>114</v>
      </c>
      <c r="BK166" s="1">
        <v>1.0006699999999999</v>
      </c>
    </row>
    <row r="167" spans="2:63" ht="15" customHeight="1" x14ac:dyDescent="0.25">
      <c r="B167" s="1"/>
      <c r="C167" s="1"/>
      <c r="D167" s="1"/>
      <c r="BJ167" s="1">
        <v>115</v>
      </c>
      <c r="BK167" s="1">
        <v>1.00068</v>
      </c>
    </row>
    <row r="168" spans="2:63" ht="15" customHeight="1" x14ac:dyDescent="0.25">
      <c r="B168" s="1"/>
      <c r="C168" s="1"/>
      <c r="D168" s="1"/>
      <c r="BJ168" s="1">
        <v>116</v>
      </c>
      <c r="BK168" s="1">
        <v>1.0006900000000001</v>
      </c>
    </row>
    <row r="169" spans="2:63" ht="18" customHeight="1" x14ac:dyDescent="0.45">
      <c r="B169" s="1"/>
      <c r="C169" s="48"/>
      <c r="D169" s="1"/>
      <c r="BJ169" s="1">
        <v>117</v>
      </c>
      <c r="BK169" s="1">
        <v>1.00071</v>
      </c>
    </row>
    <row r="170" spans="2:63" ht="18" customHeight="1" x14ac:dyDescent="0.45">
      <c r="B170" s="1"/>
      <c r="C170" s="48"/>
      <c r="D170" s="1"/>
      <c r="BJ170" s="1">
        <v>118</v>
      </c>
      <c r="BK170" s="1">
        <v>1.0007200000000001</v>
      </c>
    </row>
    <row r="171" spans="2:63" ht="18" customHeight="1" x14ac:dyDescent="0.45">
      <c r="B171" s="1"/>
      <c r="C171" s="48"/>
      <c r="D171" s="1"/>
      <c r="BJ171" s="1">
        <v>119</v>
      </c>
      <c r="BK171" s="1">
        <v>1.0007299999999999</v>
      </c>
    </row>
    <row r="172" spans="2:63" ht="15" customHeight="1" x14ac:dyDescent="0.25">
      <c r="B172" s="1"/>
      <c r="C172" s="1"/>
      <c r="D172" s="1"/>
      <c r="BJ172" s="1">
        <v>120</v>
      </c>
      <c r="BK172" s="1">
        <v>1.00074</v>
      </c>
    </row>
    <row r="173" spans="2:63" ht="15" customHeight="1" x14ac:dyDescent="0.25">
      <c r="B173" s="1"/>
      <c r="C173" s="1"/>
      <c r="D173" s="1"/>
      <c r="BJ173" s="1">
        <v>121</v>
      </c>
      <c r="BK173" s="1">
        <v>1.0007600000000001</v>
      </c>
    </row>
    <row r="174" spans="2:63" ht="15" customHeight="1" x14ac:dyDescent="0.25">
      <c r="B174" s="1"/>
      <c r="C174" s="1"/>
      <c r="D174" s="1"/>
      <c r="BJ174" s="1">
        <v>122</v>
      </c>
      <c r="BK174" s="1">
        <v>1.0007699999999999</v>
      </c>
    </row>
    <row r="175" spans="2:63" ht="15" customHeight="1" x14ac:dyDescent="0.25">
      <c r="B175" s="1"/>
      <c r="C175" s="1"/>
      <c r="D175" s="1"/>
      <c r="BJ175" s="1">
        <v>123</v>
      </c>
      <c r="BK175" s="1">
        <v>1.00078</v>
      </c>
    </row>
    <row r="176" spans="2:63" ht="15" customHeight="1" x14ac:dyDescent="0.25">
      <c r="B176" s="1"/>
      <c r="C176" s="1"/>
      <c r="D176" s="1"/>
      <c r="BJ176" s="1">
        <v>124</v>
      </c>
      <c r="BK176" s="1">
        <v>1.0007900000000001</v>
      </c>
    </row>
    <row r="177" spans="2:63" ht="15" customHeight="1" x14ac:dyDescent="0.25">
      <c r="B177" s="1"/>
      <c r="C177" s="1"/>
      <c r="D177" s="1"/>
      <c r="BJ177" s="1">
        <v>125</v>
      </c>
      <c r="BK177" s="1">
        <v>1.00081</v>
      </c>
    </row>
    <row r="178" spans="2:63" ht="15" customHeight="1" x14ac:dyDescent="0.25">
      <c r="B178" s="1"/>
      <c r="C178" s="1"/>
      <c r="D178" s="1"/>
      <c r="BJ178" s="1">
        <v>126</v>
      </c>
      <c r="BK178" s="1">
        <v>1.00082</v>
      </c>
    </row>
    <row r="179" spans="2:63" ht="15" customHeight="1" x14ac:dyDescent="0.25">
      <c r="B179" s="1"/>
      <c r="C179" s="1"/>
      <c r="D179" s="1"/>
      <c r="BJ179" s="1">
        <v>127</v>
      </c>
      <c r="BK179" s="1">
        <v>1.0008300000000001</v>
      </c>
    </row>
    <row r="180" spans="2:63" ht="15" customHeight="1" x14ac:dyDescent="0.25">
      <c r="B180" s="1"/>
      <c r="C180" s="1"/>
      <c r="D180" s="1"/>
      <c r="BJ180" s="1">
        <v>128</v>
      </c>
      <c r="BK180" s="1">
        <v>1.00084</v>
      </c>
    </row>
    <row r="181" spans="2:63" ht="15" customHeight="1" x14ac:dyDescent="0.25">
      <c r="B181" s="1"/>
      <c r="C181" s="1"/>
      <c r="D181" s="1"/>
      <c r="BJ181" s="1">
        <v>129</v>
      </c>
      <c r="BK181" s="1">
        <v>1.0008600000000001</v>
      </c>
    </row>
    <row r="182" spans="2:63" ht="15" customHeight="1" x14ac:dyDescent="0.25">
      <c r="B182" s="1"/>
      <c r="C182" s="1"/>
      <c r="D182" s="1"/>
      <c r="BJ182" s="1">
        <v>130</v>
      </c>
      <c r="BK182" s="1">
        <v>1.0008699999999999</v>
      </c>
    </row>
    <row r="183" spans="2:63" ht="15" customHeight="1" x14ac:dyDescent="0.25">
      <c r="B183" s="1"/>
      <c r="C183" s="1"/>
      <c r="D183" s="1"/>
      <c r="BJ183" s="1">
        <v>131</v>
      </c>
      <c r="BK183" s="1">
        <v>1.00088</v>
      </c>
    </row>
    <row r="184" spans="2:63" ht="15" customHeight="1" x14ac:dyDescent="0.25">
      <c r="B184" s="1"/>
      <c r="C184" s="1"/>
      <c r="D184" s="1"/>
      <c r="BJ184" s="1">
        <v>132</v>
      </c>
      <c r="BK184" s="1">
        <v>1.0008900000000001</v>
      </c>
    </row>
    <row r="185" spans="2:63" ht="15" customHeight="1" x14ac:dyDescent="0.25">
      <c r="B185" s="1"/>
      <c r="C185" s="1"/>
      <c r="D185" s="1"/>
      <c r="BJ185" s="1">
        <v>133</v>
      </c>
      <c r="BK185" s="1">
        <v>1.00091</v>
      </c>
    </row>
    <row r="186" spans="2:63" ht="15" customHeight="1" x14ac:dyDescent="0.25">
      <c r="B186" s="1"/>
      <c r="C186" s="1"/>
      <c r="D186" s="1"/>
      <c r="BJ186" s="1">
        <v>134</v>
      </c>
      <c r="BK186" s="1">
        <v>1.00092</v>
      </c>
    </row>
    <row r="187" spans="2:63" ht="15" customHeight="1" x14ac:dyDescent="0.25">
      <c r="B187" s="1"/>
      <c r="C187" s="1"/>
      <c r="D187" s="1"/>
      <c r="BJ187" s="1">
        <v>135</v>
      </c>
      <c r="BK187" s="1">
        <v>1.0009300000000001</v>
      </c>
    </row>
    <row r="188" spans="2:63" ht="15" customHeight="1" x14ac:dyDescent="0.25">
      <c r="B188" s="1"/>
      <c r="C188" s="1"/>
      <c r="D188" s="1"/>
      <c r="BJ188" s="1">
        <v>136</v>
      </c>
      <c r="BK188" s="1">
        <v>1.0009399999999999</v>
      </c>
    </row>
    <row r="189" spans="2:63" ht="15" customHeight="1" x14ac:dyDescent="0.25">
      <c r="B189" s="1"/>
      <c r="C189" s="1"/>
      <c r="D189" s="1"/>
      <c r="BJ189" s="1">
        <v>137</v>
      </c>
      <c r="BK189" s="1">
        <v>1.0009600000000001</v>
      </c>
    </row>
    <row r="190" spans="2:63" ht="15" customHeight="1" x14ac:dyDescent="0.25">
      <c r="B190" s="1"/>
      <c r="C190" s="1"/>
      <c r="D190" s="1"/>
      <c r="BJ190" s="1">
        <v>138</v>
      </c>
      <c r="BK190" s="1">
        <v>1.0009699999999999</v>
      </c>
    </row>
    <row r="191" spans="2:63" ht="15" customHeight="1" x14ac:dyDescent="0.25">
      <c r="B191" s="1"/>
      <c r="C191" s="1"/>
      <c r="D191" s="1"/>
      <c r="BJ191" s="1">
        <v>139</v>
      </c>
      <c r="BK191" s="1">
        <v>1.00098</v>
      </c>
    </row>
    <row r="192" spans="2:63" ht="15" customHeight="1" x14ac:dyDescent="0.25">
      <c r="B192" s="1"/>
      <c r="C192" s="1"/>
      <c r="D192" s="1"/>
      <c r="BJ192" s="1">
        <v>140</v>
      </c>
      <c r="BK192" s="1">
        <v>1.00099</v>
      </c>
    </row>
    <row r="193" spans="2:63" ht="15" customHeight="1" x14ac:dyDescent="0.25">
      <c r="B193" s="1"/>
      <c r="C193" s="1"/>
      <c r="D193" s="1"/>
      <c r="BJ193" s="1">
        <v>141</v>
      </c>
      <c r="BK193" s="1">
        <v>1.0009999999999999</v>
      </c>
    </row>
    <row r="194" spans="2:63" ht="15" customHeight="1" x14ac:dyDescent="0.25">
      <c r="B194" s="1"/>
      <c r="C194" s="1"/>
      <c r="D194" s="1"/>
      <c r="BJ194" s="1">
        <v>142</v>
      </c>
      <c r="BK194" s="1">
        <v>1.00102</v>
      </c>
    </row>
    <row r="195" spans="2:63" ht="15" customHeight="1" x14ac:dyDescent="0.25">
      <c r="B195" s="1"/>
      <c r="C195" s="1"/>
      <c r="D195" s="1"/>
      <c r="BJ195" s="1">
        <v>143</v>
      </c>
      <c r="BK195" s="1">
        <v>1.0010300000000001</v>
      </c>
    </row>
    <row r="196" spans="2:63" ht="15" customHeight="1" x14ac:dyDescent="0.25">
      <c r="B196" s="1"/>
      <c r="C196" s="1"/>
      <c r="D196" s="1"/>
      <c r="BJ196" s="1">
        <v>144</v>
      </c>
      <c r="BK196" s="1">
        <v>1.0010399999999999</v>
      </c>
    </row>
    <row r="197" spans="2:63" ht="15" customHeight="1" x14ac:dyDescent="0.25">
      <c r="B197" s="1"/>
      <c r="C197" s="1"/>
      <c r="D197" s="1"/>
      <c r="BJ197" s="1">
        <v>145</v>
      </c>
      <c r="BK197" s="1">
        <v>1.00105</v>
      </c>
    </row>
    <row r="198" spans="2:63" ht="15" customHeight="1" x14ac:dyDescent="0.25">
      <c r="B198" s="1"/>
      <c r="C198" s="1"/>
      <c r="D198" s="1"/>
      <c r="BJ198" s="1">
        <v>146</v>
      </c>
      <c r="BK198" s="1">
        <v>1.0010699999999999</v>
      </c>
    </row>
    <row r="199" spans="2:63" ht="15" customHeight="1" x14ac:dyDescent="0.25">
      <c r="B199" s="1"/>
      <c r="C199" s="1"/>
      <c r="D199" s="1"/>
      <c r="BJ199" s="1">
        <v>147</v>
      </c>
      <c r="BK199" s="1">
        <v>1.00108</v>
      </c>
    </row>
    <row r="200" spans="2:63" ht="15" customHeight="1" x14ac:dyDescent="0.25">
      <c r="B200" s="1"/>
      <c r="C200" s="1"/>
      <c r="D200" s="1"/>
      <c r="BJ200" s="1">
        <v>148</v>
      </c>
      <c r="BK200" s="1">
        <v>1.00109</v>
      </c>
    </row>
    <row r="201" spans="2:63" ht="15" customHeight="1" x14ac:dyDescent="0.25">
      <c r="B201" s="1"/>
      <c r="C201" s="1"/>
      <c r="D201" s="1"/>
      <c r="BJ201" s="1">
        <v>149</v>
      </c>
      <c r="BK201" s="1">
        <v>1.0011000000000001</v>
      </c>
    </row>
    <row r="202" spans="2:63" ht="15" customHeight="1" x14ac:dyDescent="0.25">
      <c r="B202" s="1"/>
      <c r="C202" s="1"/>
      <c r="D202" s="1"/>
      <c r="BJ202" s="1">
        <v>150</v>
      </c>
      <c r="BK202" s="1">
        <v>1.00112</v>
      </c>
    </row>
    <row r="203" spans="2:63" ht="15" customHeight="1" x14ac:dyDescent="0.25">
      <c r="B203" s="1"/>
      <c r="C203" s="1"/>
      <c r="D203" s="1"/>
      <c r="BJ203" s="1">
        <v>151</v>
      </c>
      <c r="BK203" s="1">
        <v>1.0011300000000001</v>
      </c>
    </row>
    <row r="204" spans="2:63" ht="15" customHeight="1" x14ac:dyDescent="0.25">
      <c r="B204" s="1"/>
      <c r="C204" s="1"/>
      <c r="D204" s="1"/>
      <c r="BJ204" s="1">
        <v>152</v>
      </c>
      <c r="BK204" s="1">
        <v>1.0011399999999999</v>
      </c>
    </row>
    <row r="205" spans="2:63" ht="15" customHeight="1" x14ac:dyDescent="0.25">
      <c r="B205" s="1"/>
      <c r="C205" s="1"/>
      <c r="D205" s="1"/>
      <c r="BJ205" s="1">
        <v>153</v>
      </c>
      <c r="BK205" s="1">
        <v>1.00115</v>
      </c>
    </row>
    <row r="206" spans="2:63" ht="15" customHeight="1" x14ac:dyDescent="0.25">
      <c r="B206" s="1"/>
      <c r="C206" s="1"/>
      <c r="D206" s="1"/>
      <c r="BJ206" s="1">
        <v>154</v>
      </c>
      <c r="BK206" s="1">
        <v>1.0011699999999999</v>
      </c>
    </row>
    <row r="207" spans="2:63" ht="15" customHeight="1" x14ac:dyDescent="0.25">
      <c r="B207" s="1"/>
      <c r="C207" s="1"/>
      <c r="D207" s="1"/>
      <c r="BJ207" s="1">
        <v>155</v>
      </c>
      <c r="BK207" s="1">
        <v>1.00118</v>
      </c>
    </row>
    <row r="208" spans="2:63" ht="15" customHeight="1" x14ac:dyDescent="0.25">
      <c r="B208" s="1"/>
      <c r="C208" s="1"/>
      <c r="D208" s="1"/>
      <c r="BJ208" s="1">
        <v>156</v>
      </c>
      <c r="BK208" s="1">
        <v>1.00119</v>
      </c>
    </row>
    <row r="209" spans="2:63" ht="15" customHeight="1" x14ac:dyDescent="0.25">
      <c r="B209" s="1"/>
      <c r="C209" s="1"/>
      <c r="D209" s="1"/>
      <c r="BJ209" s="1">
        <v>157</v>
      </c>
      <c r="BK209" s="1">
        <v>1.0012000000000001</v>
      </c>
    </row>
    <row r="210" spans="2:63" ht="15" customHeight="1" x14ac:dyDescent="0.25">
      <c r="B210" s="1"/>
      <c r="C210" s="1"/>
      <c r="D210" s="1"/>
      <c r="BJ210" s="1">
        <v>158</v>
      </c>
      <c r="BK210" s="1">
        <v>1.00122</v>
      </c>
    </row>
    <row r="211" spans="2:63" ht="15" customHeight="1" x14ac:dyDescent="0.25">
      <c r="B211" s="1"/>
      <c r="C211" s="1"/>
      <c r="D211" s="1"/>
      <c r="BJ211" s="1">
        <v>159</v>
      </c>
      <c r="BK211" s="1">
        <v>1.0012300000000001</v>
      </c>
    </row>
    <row r="212" spans="2:63" ht="15" customHeight="1" x14ac:dyDescent="0.25">
      <c r="B212" s="1"/>
      <c r="C212" s="1"/>
      <c r="D212" s="1"/>
      <c r="BJ212" s="1">
        <v>160</v>
      </c>
      <c r="BK212" s="1">
        <v>1.0012399999999999</v>
      </c>
    </row>
    <row r="213" spans="2:63" ht="15" customHeight="1" x14ac:dyDescent="0.25">
      <c r="B213" s="1"/>
      <c r="C213" s="1"/>
      <c r="D213" s="1"/>
      <c r="BJ213" s="1">
        <v>161</v>
      </c>
      <c r="BK213" s="1">
        <v>1.00125</v>
      </c>
    </row>
    <row r="214" spans="2:63" ht="15" customHeight="1" x14ac:dyDescent="0.25">
      <c r="B214" s="1"/>
      <c r="C214" s="1"/>
      <c r="D214" s="1"/>
      <c r="BJ214" s="1">
        <v>162</v>
      </c>
      <c r="BK214" s="1">
        <v>1.0012700000000001</v>
      </c>
    </row>
    <row r="215" spans="2:63" ht="15" customHeight="1" x14ac:dyDescent="0.25">
      <c r="B215" s="1"/>
      <c r="C215" s="1"/>
      <c r="D215" s="1"/>
      <c r="BJ215" s="1">
        <v>163</v>
      </c>
      <c r="BK215" s="1">
        <v>1.0012799999999999</v>
      </c>
    </row>
    <row r="216" spans="2:63" ht="15" customHeight="1" x14ac:dyDescent="0.25">
      <c r="B216" s="1"/>
      <c r="C216" s="1"/>
      <c r="D216" s="1"/>
      <c r="BJ216" s="1">
        <v>164</v>
      </c>
      <c r="BK216" s="1">
        <v>1.00129</v>
      </c>
    </row>
    <row r="217" spans="2:63" ht="15" customHeight="1" x14ac:dyDescent="0.25">
      <c r="B217" s="1"/>
      <c r="C217" s="1"/>
      <c r="D217" s="1"/>
      <c r="BJ217" s="1">
        <v>165</v>
      </c>
      <c r="BK217" s="1">
        <v>1.0013000000000001</v>
      </c>
    </row>
    <row r="218" spans="2:63" ht="15" customHeight="1" x14ac:dyDescent="0.25">
      <c r="B218" s="1"/>
      <c r="C218" s="1"/>
      <c r="D218" s="1"/>
      <c r="BJ218" s="1">
        <v>166</v>
      </c>
      <c r="BK218" s="1">
        <v>1.0013099999999999</v>
      </c>
    </row>
    <row r="219" spans="2:63" ht="15" customHeight="1" x14ac:dyDescent="0.25">
      <c r="B219" s="1"/>
      <c r="C219" s="1"/>
      <c r="D219" s="1"/>
      <c r="BJ219" s="1">
        <v>167</v>
      </c>
      <c r="BK219" s="1">
        <v>1.0013300000000001</v>
      </c>
    </row>
    <row r="220" spans="2:63" ht="15" customHeight="1" x14ac:dyDescent="0.25">
      <c r="B220" s="1"/>
      <c r="C220" s="1"/>
      <c r="D220" s="1"/>
      <c r="BJ220" s="1">
        <v>168</v>
      </c>
      <c r="BK220" s="1">
        <v>1.0013399999999999</v>
      </c>
    </row>
    <row r="221" spans="2:63" ht="15" customHeight="1" x14ac:dyDescent="0.25">
      <c r="B221" s="1"/>
      <c r="C221" s="1"/>
      <c r="D221" s="1"/>
      <c r="BJ221" s="1">
        <v>169</v>
      </c>
      <c r="BK221" s="1">
        <v>1.00135</v>
      </c>
    </row>
    <row r="222" spans="2:63" ht="15" customHeight="1" x14ac:dyDescent="0.25">
      <c r="B222" s="1"/>
      <c r="C222" s="1"/>
      <c r="D222" s="1"/>
      <c r="BJ222" s="1">
        <v>170</v>
      </c>
      <c r="BK222" s="1">
        <v>1.00136</v>
      </c>
    </row>
    <row r="223" spans="2:63" ht="15" customHeight="1" x14ac:dyDescent="0.25">
      <c r="B223" s="1"/>
      <c r="C223" s="1"/>
      <c r="D223" s="1"/>
      <c r="BJ223" s="1">
        <v>171</v>
      </c>
      <c r="BK223" s="1">
        <v>1.0013799999999999</v>
      </c>
    </row>
    <row r="224" spans="2:63" ht="15" customHeight="1" x14ac:dyDescent="0.25">
      <c r="B224" s="1"/>
      <c r="C224" s="1"/>
      <c r="D224" s="1"/>
      <c r="BJ224" s="1">
        <v>172</v>
      </c>
      <c r="BK224" s="1">
        <v>1.00139</v>
      </c>
    </row>
    <row r="225" spans="2:63" ht="15" customHeight="1" x14ac:dyDescent="0.25">
      <c r="B225" s="1"/>
      <c r="C225" s="1"/>
      <c r="D225" s="1"/>
      <c r="BJ225" s="1">
        <v>173</v>
      </c>
      <c r="BK225" s="1">
        <v>1.0014000000000001</v>
      </c>
    </row>
    <row r="226" spans="2:63" ht="15" customHeight="1" x14ac:dyDescent="0.25">
      <c r="B226" s="1"/>
      <c r="C226" s="1"/>
      <c r="D226" s="1"/>
      <c r="BJ226" s="1">
        <v>174</v>
      </c>
      <c r="BK226" s="1">
        <v>1.0014099999999999</v>
      </c>
    </row>
    <row r="227" spans="2:63" ht="15" customHeight="1" x14ac:dyDescent="0.25">
      <c r="B227" s="1"/>
      <c r="C227" s="1"/>
      <c r="D227" s="1"/>
      <c r="BJ227" s="1">
        <v>175</v>
      </c>
      <c r="BK227" s="1">
        <v>1.00143</v>
      </c>
    </row>
    <row r="228" spans="2:63" ht="15" customHeight="1" x14ac:dyDescent="0.25">
      <c r="B228" s="1"/>
      <c r="C228" s="1"/>
      <c r="D228" s="1"/>
      <c r="BJ228" s="1">
        <v>176</v>
      </c>
      <c r="BK228" s="1">
        <v>1.0014400000000001</v>
      </c>
    </row>
    <row r="229" spans="2:63" ht="15" customHeight="1" x14ac:dyDescent="0.25">
      <c r="B229" s="1"/>
      <c r="C229" s="1"/>
      <c r="D229" s="1"/>
      <c r="BJ229" s="1">
        <v>177</v>
      </c>
      <c r="BK229" s="1">
        <v>1.00145</v>
      </c>
    </row>
    <row r="230" spans="2:63" ht="15" customHeight="1" x14ac:dyDescent="0.25">
      <c r="B230" s="1"/>
      <c r="C230" s="1"/>
      <c r="D230" s="1"/>
      <c r="BJ230" s="1">
        <v>178</v>
      </c>
      <c r="BK230" s="1">
        <v>1.00146</v>
      </c>
    </row>
    <row r="231" spans="2:63" ht="15" customHeight="1" x14ac:dyDescent="0.25">
      <c r="B231" s="1"/>
      <c r="C231" s="1"/>
      <c r="D231" s="1"/>
      <c r="BJ231" s="1">
        <v>179</v>
      </c>
      <c r="BK231" s="1">
        <v>1.0014799999999999</v>
      </c>
    </row>
    <row r="232" spans="2:63" ht="15" customHeight="1" x14ac:dyDescent="0.25">
      <c r="B232" s="1"/>
      <c r="C232" s="1"/>
      <c r="D232" s="1"/>
      <c r="BJ232" s="1">
        <v>180</v>
      </c>
      <c r="BK232" s="1">
        <v>1.00149</v>
      </c>
    </row>
    <row r="233" spans="2:63" ht="15" customHeight="1" x14ac:dyDescent="0.25">
      <c r="B233" s="1"/>
      <c r="C233" s="1"/>
      <c r="D233" s="1"/>
      <c r="BJ233" s="1">
        <v>181</v>
      </c>
      <c r="BK233" s="1">
        <v>1.0015000000000001</v>
      </c>
    </row>
    <row r="234" spans="2:63" ht="15" customHeight="1" x14ac:dyDescent="0.25">
      <c r="B234" s="1"/>
      <c r="C234" s="1"/>
      <c r="D234" s="1"/>
      <c r="BJ234" s="1">
        <v>182</v>
      </c>
      <c r="BK234" s="1">
        <v>1.0015099999999999</v>
      </c>
    </row>
    <row r="235" spans="2:63" ht="15" customHeight="1" x14ac:dyDescent="0.25">
      <c r="B235" s="1"/>
      <c r="C235" s="1"/>
      <c r="D235" s="1"/>
      <c r="BJ235" s="1">
        <v>183</v>
      </c>
      <c r="BK235" s="1">
        <v>1.00153</v>
      </c>
    </row>
    <row r="236" spans="2:63" ht="15" customHeight="1" x14ac:dyDescent="0.25">
      <c r="B236" s="1"/>
      <c r="C236" s="1"/>
      <c r="D236" s="1"/>
      <c r="BJ236" s="1">
        <v>184</v>
      </c>
      <c r="BK236" s="1">
        <v>1.0015400000000001</v>
      </c>
    </row>
    <row r="237" spans="2:63" ht="15" customHeight="1" x14ac:dyDescent="0.25">
      <c r="B237" s="1"/>
      <c r="C237" s="1"/>
      <c r="D237" s="1"/>
      <c r="BJ237" s="1">
        <v>185</v>
      </c>
      <c r="BK237" s="1">
        <v>1.0015499999999999</v>
      </c>
    </row>
    <row r="238" spans="2:63" ht="15" customHeight="1" x14ac:dyDescent="0.25">
      <c r="B238" s="1"/>
      <c r="C238" s="1"/>
      <c r="D238" s="1"/>
      <c r="BJ238" s="1">
        <v>186</v>
      </c>
      <c r="BK238" s="1">
        <v>1.00156</v>
      </c>
    </row>
    <row r="239" spans="2:63" ht="15" customHeight="1" x14ac:dyDescent="0.25">
      <c r="B239" s="1"/>
      <c r="C239" s="1"/>
      <c r="D239" s="1"/>
      <c r="BJ239" s="1">
        <v>187</v>
      </c>
      <c r="BK239" s="1">
        <v>1.0015799999999999</v>
      </c>
    </row>
    <row r="240" spans="2:63" ht="15" customHeight="1" x14ac:dyDescent="0.25">
      <c r="B240" s="1"/>
      <c r="C240" s="1"/>
      <c r="D240" s="1"/>
      <c r="BJ240" s="1">
        <v>188</v>
      </c>
      <c r="BK240" s="1">
        <v>1.00159</v>
      </c>
    </row>
    <row r="241" spans="2:63" ht="15" customHeight="1" x14ac:dyDescent="0.25">
      <c r="B241" s="1"/>
      <c r="C241" s="1"/>
      <c r="D241" s="1"/>
      <c r="BJ241" s="1">
        <v>189</v>
      </c>
      <c r="BK241" s="1">
        <v>1.0016</v>
      </c>
    </row>
    <row r="242" spans="2:63" ht="15" customHeight="1" x14ac:dyDescent="0.25">
      <c r="B242" s="1"/>
      <c r="C242" s="1"/>
      <c r="D242" s="1"/>
      <c r="BJ242" s="1">
        <v>190</v>
      </c>
      <c r="BK242" s="1">
        <v>1.0016099999999999</v>
      </c>
    </row>
    <row r="243" spans="2:63" ht="15" customHeight="1" x14ac:dyDescent="0.25">
      <c r="B243" s="1"/>
      <c r="C243" s="1"/>
      <c r="D243" s="1"/>
      <c r="BJ243" s="1">
        <v>191</v>
      </c>
      <c r="BK243" s="1">
        <v>1.00163</v>
      </c>
    </row>
    <row r="244" spans="2:63" ht="15" customHeight="1" x14ac:dyDescent="0.25">
      <c r="B244" s="1"/>
      <c r="C244" s="1"/>
      <c r="D244" s="1"/>
      <c r="BJ244" s="1">
        <v>192</v>
      </c>
      <c r="BK244" s="1">
        <v>1.0016400000000001</v>
      </c>
    </row>
    <row r="245" spans="2:63" ht="15" customHeight="1" x14ac:dyDescent="0.25">
      <c r="B245" s="1"/>
      <c r="C245" s="1"/>
      <c r="D245" s="1"/>
      <c r="BJ245" s="1">
        <v>193</v>
      </c>
      <c r="BK245" s="1">
        <v>1.0016499999999999</v>
      </c>
    </row>
    <row r="246" spans="2:63" ht="15" customHeight="1" x14ac:dyDescent="0.25">
      <c r="B246" s="1"/>
      <c r="C246" s="1"/>
      <c r="D246" s="1"/>
      <c r="BJ246" s="1">
        <v>194</v>
      </c>
      <c r="BK246" s="1">
        <v>1.00166</v>
      </c>
    </row>
    <row r="247" spans="2:63" ht="15" customHeight="1" x14ac:dyDescent="0.25">
      <c r="B247" s="1"/>
      <c r="C247" s="1"/>
      <c r="D247" s="1"/>
      <c r="BJ247" s="1">
        <v>195</v>
      </c>
      <c r="BK247" s="1">
        <v>1.0016700000000001</v>
      </c>
    </row>
    <row r="248" spans="2:63" ht="15" customHeight="1" x14ac:dyDescent="0.25">
      <c r="B248" s="1"/>
      <c r="C248" s="1"/>
      <c r="D248" s="1"/>
      <c r="BJ248" s="1">
        <v>196</v>
      </c>
      <c r="BK248" s="1">
        <v>1.00169</v>
      </c>
    </row>
    <row r="249" spans="2:63" ht="15" customHeight="1" x14ac:dyDescent="0.25">
      <c r="B249" s="1"/>
      <c r="C249" s="1"/>
      <c r="D249" s="1"/>
      <c r="BJ249" s="1">
        <v>197</v>
      </c>
      <c r="BK249" s="1">
        <v>1.0017</v>
      </c>
    </row>
    <row r="250" spans="2:63" ht="15" customHeight="1" x14ac:dyDescent="0.25">
      <c r="B250" s="1"/>
      <c r="C250" s="1"/>
      <c r="D250" s="1"/>
      <c r="BJ250" s="1">
        <v>198</v>
      </c>
      <c r="BK250" s="1">
        <v>1.0017100000000001</v>
      </c>
    </row>
    <row r="251" spans="2:63" ht="15" customHeight="1" x14ac:dyDescent="0.25">
      <c r="B251" s="1"/>
      <c r="C251" s="1"/>
      <c r="D251" s="1"/>
      <c r="BJ251" s="1">
        <v>199</v>
      </c>
      <c r="BK251" s="1">
        <v>1.0017199999999999</v>
      </c>
    </row>
    <row r="252" spans="2:63" ht="15" customHeight="1" x14ac:dyDescent="0.25">
      <c r="B252" s="1"/>
      <c r="C252" s="1"/>
      <c r="D252" s="1"/>
      <c r="BJ252" s="1">
        <v>200</v>
      </c>
      <c r="BK252" s="1">
        <v>1.0017400000000001</v>
      </c>
    </row>
    <row r="253" spans="2:63" ht="15" customHeight="1" x14ac:dyDescent="0.25">
      <c r="B253" s="1"/>
      <c r="C253" s="1"/>
      <c r="D253" s="1"/>
      <c r="BJ253" s="1">
        <v>201</v>
      </c>
      <c r="BK253" s="1">
        <v>1.0017499999999999</v>
      </c>
    </row>
    <row r="254" spans="2:63" ht="15" customHeight="1" x14ac:dyDescent="0.25">
      <c r="B254" s="1"/>
      <c r="C254" s="1"/>
      <c r="D254" s="1"/>
      <c r="BJ254" s="1">
        <v>202</v>
      </c>
      <c r="BK254" s="1">
        <v>1.00176</v>
      </c>
    </row>
    <row r="255" spans="2:63" ht="15" customHeight="1" x14ac:dyDescent="0.25">
      <c r="B255" s="1"/>
      <c r="C255" s="1"/>
      <c r="D255" s="1"/>
      <c r="BJ255" s="1">
        <v>203</v>
      </c>
      <c r="BK255" s="1">
        <v>1.00177</v>
      </c>
    </row>
    <row r="256" spans="2:63" ht="15" customHeight="1" x14ac:dyDescent="0.25">
      <c r="B256" s="1"/>
      <c r="C256" s="1"/>
      <c r="D256" s="1"/>
      <c r="BJ256" s="1">
        <v>204</v>
      </c>
      <c r="BK256" s="1">
        <v>1.00179</v>
      </c>
    </row>
    <row r="257" spans="2:63" ht="15" customHeight="1" x14ac:dyDescent="0.25">
      <c r="B257" s="1"/>
      <c r="C257" s="1"/>
      <c r="D257" s="1"/>
      <c r="BJ257" s="1">
        <v>205</v>
      </c>
      <c r="BK257" s="1">
        <v>1.0018</v>
      </c>
    </row>
    <row r="258" spans="2:63" ht="15" customHeight="1" x14ac:dyDescent="0.25">
      <c r="B258" s="1"/>
      <c r="C258" s="1"/>
      <c r="D258" s="1"/>
      <c r="BJ258" s="1">
        <v>206</v>
      </c>
      <c r="BK258" s="1">
        <v>1.0018100000000001</v>
      </c>
    </row>
    <row r="259" spans="2:63" ht="15" customHeight="1" x14ac:dyDescent="0.25">
      <c r="B259" s="1"/>
      <c r="C259" s="1"/>
      <c r="D259" s="1"/>
      <c r="BJ259" s="1">
        <v>207</v>
      </c>
      <c r="BK259" s="1">
        <v>1.0018199999999999</v>
      </c>
    </row>
    <row r="260" spans="2:63" ht="15" customHeight="1" x14ac:dyDescent="0.25">
      <c r="B260" s="1"/>
      <c r="C260" s="1"/>
      <c r="D260" s="1"/>
      <c r="BJ260" s="1">
        <v>208</v>
      </c>
      <c r="BK260" s="1">
        <v>1.0018400000000001</v>
      </c>
    </row>
    <row r="261" spans="2:63" ht="15" customHeight="1" x14ac:dyDescent="0.25">
      <c r="B261" s="1"/>
      <c r="C261" s="1"/>
      <c r="D261" s="1"/>
      <c r="BJ261" s="1">
        <v>209</v>
      </c>
      <c r="BK261" s="1">
        <v>1.0018499999999999</v>
      </c>
    </row>
    <row r="262" spans="2:63" ht="15" customHeight="1" x14ac:dyDescent="0.25">
      <c r="B262" s="1"/>
      <c r="C262" s="1"/>
      <c r="D262" s="1"/>
      <c r="BJ262" s="1">
        <v>210</v>
      </c>
      <c r="BK262" s="1">
        <v>1.00186</v>
      </c>
    </row>
    <row r="263" spans="2:63" ht="15" customHeight="1" x14ac:dyDescent="0.25">
      <c r="B263" s="1"/>
      <c r="C263" s="1"/>
      <c r="D263" s="1"/>
      <c r="BJ263" s="1">
        <v>211</v>
      </c>
      <c r="BK263" s="1">
        <v>1.00187</v>
      </c>
    </row>
    <row r="264" spans="2:63" ht="15" customHeight="1" x14ac:dyDescent="0.25">
      <c r="B264" s="1"/>
      <c r="C264" s="1"/>
      <c r="D264" s="1"/>
      <c r="BJ264" s="1">
        <v>212</v>
      </c>
      <c r="BK264" s="1">
        <v>1.0018899999999999</v>
      </c>
    </row>
    <row r="265" spans="2:63" ht="15" customHeight="1" x14ac:dyDescent="0.25">
      <c r="B265" s="1"/>
      <c r="C265" s="1"/>
      <c r="D265" s="1"/>
      <c r="BJ265" s="1">
        <v>213</v>
      </c>
      <c r="BK265" s="1">
        <v>1.0019</v>
      </c>
    </row>
    <row r="266" spans="2:63" ht="15" customHeight="1" x14ac:dyDescent="0.25">
      <c r="B266" s="1"/>
      <c r="C266" s="1"/>
      <c r="D266" s="1"/>
      <c r="BJ266" s="1">
        <v>214</v>
      </c>
      <c r="BK266" s="1">
        <v>1.0019100000000001</v>
      </c>
    </row>
    <row r="267" spans="2:63" ht="15" customHeight="1" x14ac:dyDescent="0.25">
      <c r="B267" s="1"/>
      <c r="C267" s="1"/>
      <c r="D267" s="1"/>
      <c r="BJ267" s="1">
        <v>215</v>
      </c>
      <c r="BK267" s="1">
        <v>1.0019199999999999</v>
      </c>
    </row>
    <row r="268" spans="2:63" ht="15" customHeight="1" x14ac:dyDescent="0.25">
      <c r="B268" s="1"/>
      <c r="C268" s="1"/>
      <c r="D268" s="1"/>
      <c r="BJ268" s="1">
        <v>216</v>
      </c>
      <c r="BK268" s="1">
        <v>1.0019400000000001</v>
      </c>
    </row>
    <row r="269" spans="2:63" ht="15" customHeight="1" x14ac:dyDescent="0.25">
      <c r="B269" s="1"/>
      <c r="C269" s="1"/>
      <c r="D269" s="1"/>
      <c r="BJ269" s="1">
        <v>217</v>
      </c>
      <c r="BK269" s="1">
        <v>1.0019499999999999</v>
      </c>
    </row>
    <row r="270" spans="2:63" ht="15" customHeight="1" x14ac:dyDescent="0.25">
      <c r="B270" s="1"/>
      <c r="C270" s="1"/>
      <c r="D270" s="1"/>
      <c r="BJ270" s="1">
        <v>218</v>
      </c>
      <c r="BK270" s="1">
        <v>1.00196</v>
      </c>
    </row>
    <row r="271" spans="2:63" ht="15" customHeight="1" x14ac:dyDescent="0.25">
      <c r="B271" s="1"/>
      <c r="C271" s="1"/>
      <c r="D271" s="1"/>
      <c r="BJ271" s="1">
        <v>219</v>
      </c>
      <c r="BK271" s="1">
        <v>1.00197</v>
      </c>
    </row>
    <row r="272" spans="2:63" ht="15" customHeight="1" x14ac:dyDescent="0.25">
      <c r="B272" s="1"/>
      <c r="C272" s="1"/>
      <c r="D272" s="1"/>
      <c r="BJ272" s="1">
        <v>220</v>
      </c>
      <c r="BK272" s="1">
        <v>1.0019800000000001</v>
      </c>
    </row>
    <row r="273" spans="2:63" ht="15" customHeight="1" x14ac:dyDescent="0.25">
      <c r="B273" s="1"/>
      <c r="C273" s="1"/>
      <c r="D273" s="1"/>
      <c r="BJ273" s="1">
        <v>221</v>
      </c>
      <c r="BK273" s="1">
        <v>1.002</v>
      </c>
    </row>
    <row r="274" spans="2:63" ht="15" customHeight="1" x14ac:dyDescent="0.25">
      <c r="B274" s="1"/>
      <c r="C274" s="1"/>
      <c r="D274" s="1"/>
      <c r="BJ274" s="1">
        <v>222</v>
      </c>
      <c r="BK274" s="1">
        <v>1.0020100000000001</v>
      </c>
    </row>
    <row r="275" spans="2:63" ht="15" customHeight="1" x14ac:dyDescent="0.25">
      <c r="B275" s="1"/>
      <c r="C275" s="1"/>
      <c r="D275" s="1"/>
      <c r="BJ275" s="1">
        <v>223</v>
      </c>
      <c r="BK275" s="1">
        <v>1.0020199999999999</v>
      </c>
    </row>
    <row r="276" spans="2:63" ht="15" customHeight="1" x14ac:dyDescent="0.25">
      <c r="B276" s="1"/>
      <c r="C276" s="1"/>
      <c r="D276" s="1"/>
      <c r="BJ276" s="1">
        <v>224</v>
      </c>
      <c r="BK276" s="1">
        <v>1.00203</v>
      </c>
    </row>
    <row r="277" spans="2:63" ht="15" customHeight="1" x14ac:dyDescent="0.25">
      <c r="B277" s="1"/>
      <c r="C277" s="1"/>
      <c r="D277" s="1"/>
      <c r="BJ277" s="1">
        <v>225</v>
      </c>
      <c r="BK277" s="1">
        <v>1.0020500000000001</v>
      </c>
    </row>
    <row r="278" spans="2:63" ht="15" customHeight="1" x14ac:dyDescent="0.25">
      <c r="B278" s="1"/>
      <c r="C278" s="1"/>
      <c r="D278" s="1"/>
      <c r="BJ278" s="1">
        <v>226</v>
      </c>
      <c r="BK278" s="1">
        <v>1.00206</v>
      </c>
    </row>
    <row r="279" spans="2:63" ht="15" customHeight="1" x14ac:dyDescent="0.25">
      <c r="B279" s="1"/>
      <c r="C279" s="1"/>
      <c r="D279" s="1"/>
      <c r="BJ279" s="1">
        <v>227</v>
      </c>
      <c r="BK279" s="1">
        <v>1.00207</v>
      </c>
    </row>
    <row r="280" spans="2:63" ht="15" customHeight="1" x14ac:dyDescent="0.25">
      <c r="B280" s="1"/>
      <c r="C280" s="1"/>
      <c r="D280" s="1"/>
      <c r="BJ280" s="1">
        <v>228</v>
      </c>
      <c r="BK280" s="1">
        <v>1.0020800000000001</v>
      </c>
    </row>
    <row r="281" spans="2:63" ht="15" customHeight="1" x14ac:dyDescent="0.25">
      <c r="B281" s="1"/>
      <c r="C281" s="1"/>
      <c r="D281" s="1"/>
      <c r="BJ281" s="1">
        <v>229</v>
      </c>
      <c r="BK281" s="1">
        <v>1.0021</v>
      </c>
    </row>
    <row r="282" spans="2:63" ht="15" customHeight="1" x14ac:dyDescent="0.25">
      <c r="B282" s="1"/>
      <c r="C282" s="1"/>
      <c r="D282" s="1"/>
      <c r="BJ282" s="1">
        <v>230</v>
      </c>
      <c r="BK282" s="1">
        <v>1.0021100000000001</v>
      </c>
    </row>
    <row r="283" spans="2:63" ht="15" customHeight="1" x14ac:dyDescent="0.25">
      <c r="B283" s="1"/>
      <c r="C283" s="1"/>
      <c r="D283" s="1"/>
      <c r="BJ283" s="1">
        <v>231</v>
      </c>
      <c r="BK283" s="1">
        <v>1.0021199999999999</v>
      </c>
    </row>
    <row r="284" spans="2:63" ht="15" customHeight="1" x14ac:dyDescent="0.25">
      <c r="B284" s="1"/>
      <c r="C284" s="1"/>
      <c r="D284" s="1"/>
      <c r="BJ284" s="1">
        <v>232</v>
      </c>
      <c r="BK284" s="1">
        <v>1.00213</v>
      </c>
    </row>
    <row r="285" spans="2:63" ht="15" customHeight="1" x14ac:dyDescent="0.25">
      <c r="B285" s="1"/>
      <c r="C285" s="1"/>
      <c r="D285" s="1"/>
      <c r="BJ285" s="1">
        <v>233</v>
      </c>
      <c r="BK285" s="1">
        <v>1.0021500000000001</v>
      </c>
    </row>
    <row r="286" spans="2:63" ht="15" customHeight="1" x14ac:dyDescent="0.25">
      <c r="B286" s="1"/>
      <c r="C286" s="1"/>
      <c r="D286" s="1"/>
      <c r="BJ286" s="1">
        <v>234</v>
      </c>
      <c r="BK286" s="1">
        <v>1.0021599999999999</v>
      </c>
    </row>
    <row r="287" spans="2:63" ht="15" customHeight="1" x14ac:dyDescent="0.25">
      <c r="B287" s="1"/>
      <c r="C287" s="1"/>
      <c r="D287" s="1"/>
      <c r="BJ287" s="1">
        <v>235</v>
      </c>
      <c r="BK287" s="1">
        <v>1.00217</v>
      </c>
    </row>
    <row r="288" spans="2:63" ht="15" customHeight="1" x14ac:dyDescent="0.25">
      <c r="B288" s="1"/>
      <c r="C288" s="1"/>
      <c r="D288" s="1"/>
      <c r="BJ288" s="1">
        <v>236</v>
      </c>
      <c r="BK288" s="1">
        <v>1.0021800000000001</v>
      </c>
    </row>
    <row r="289" spans="2:63" ht="15" customHeight="1" x14ac:dyDescent="0.25">
      <c r="B289" s="1"/>
      <c r="C289" s="1"/>
      <c r="D289" s="1"/>
      <c r="BJ289" s="1">
        <v>237</v>
      </c>
      <c r="BK289" s="1">
        <v>1.0022</v>
      </c>
    </row>
    <row r="290" spans="2:63" ht="15" customHeight="1" x14ac:dyDescent="0.25">
      <c r="B290" s="1"/>
      <c r="C290" s="1"/>
      <c r="D290" s="1"/>
      <c r="BJ290" s="1">
        <v>238</v>
      </c>
      <c r="BK290" s="1">
        <v>1.00221</v>
      </c>
    </row>
    <row r="291" spans="2:63" ht="15" customHeight="1" x14ac:dyDescent="0.25">
      <c r="B291" s="1"/>
      <c r="C291" s="1"/>
      <c r="D291" s="1"/>
      <c r="BJ291" s="1">
        <v>239</v>
      </c>
      <c r="BK291" s="1">
        <v>1.0022200000000001</v>
      </c>
    </row>
    <row r="292" spans="2:63" ht="15" customHeight="1" x14ac:dyDescent="0.25">
      <c r="B292" s="1"/>
      <c r="C292" s="1"/>
      <c r="D292" s="1"/>
      <c r="BJ292" s="1">
        <v>240</v>
      </c>
      <c r="BK292" s="1">
        <v>1.00223</v>
      </c>
    </row>
    <row r="293" spans="2:63" ht="15" customHeight="1" x14ac:dyDescent="0.25">
      <c r="B293" s="1"/>
      <c r="C293" s="1"/>
      <c r="D293" s="1"/>
      <c r="BJ293" s="1">
        <v>241</v>
      </c>
      <c r="BK293" s="1">
        <v>1.0022500000000001</v>
      </c>
    </row>
    <row r="294" spans="2:63" ht="15" customHeight="1" x14ac:dyDescent="0.25">
      <c r="B294" s="1"/>
      <c r="C294" s="1"/>
      <c r="D294" s="1"/>
      <c r="BJ294" s="1">
        <v>242</v>
      </c>
      <c r="BK294" s="1">
        <v>1.0022599999999999</v>
      </c>
    </row>
    <row r="295" spans="2:63" ht="15" customHeight="1" x14ac:dyDescent="0.25">
      <c r="B295" s="1"/>
      <c r="C295" s="1"/>
      <c r="D295" s="1"/>
      <c r="BJ295" s="1">
        <v>243</v>
      </c>
      <c r="BK295" s="1">
        <v>1.00227</v>
      </c>
    </row>
    <row r="296" spans="2:63" ht="15" customHeight="1" x14ac:dyDescent="0.25">
      <c r="B296" s="1"/>
      <c r="C296" s="1"/>
      <c r="D296" s="1"/>
      <c r="BJ296" s="1">
        <v>244</v>
      </c>
      <c r="BK296" s="1">
        <v>1.0022800000000001</v>
      </c>
    </row>
    <row r="297" spans="2:63" ht="15" customHeight="1" x14ac:dyDescent="0.25">
      <c r="B297" s="1"/>
      <c r="C297" s="1"/>
      <c r="D297" s="1"/>
      <c r="BJ297" s="1">
        <v>245</v>
      </c>
      <c r="BK297" s="1">
        <v>1.0023</v>
      </c>
    </row>
    <row r="298" spans="2:63" ht="15" customHeight="1" x14ac:dyDescent="0.25">
      <c r="B298" s="1"/>
      <c r="C298" s="1"/>
      <c r="D298" s="1"/>
      <c r="BJ298" s="1">
        <v>246</v>
      </c>
      <c r="BK298" s="1">
        <v>1.00231</v>
      </c>
    </row>
    <row r="299" spans="2:63" ht="15" customHeight="1" x14ac:dyDescent="0.25">
      <c r="B299" s="1"/>
      <c r="C299" s="1"/>
      <c r="D299" s="1"/>
      <c r="BJ299" s="1">
        <v>247</v>
      </c>
      <c r="BK299" s="1">
        <v>1.0023200000000001</v>
      </c>
    </row>
    <row r="300" spans="2:63" ht="15" customHeight="1" x14ac:dyDescent="0.25">
      <c r="B300" s="1"/>
      <c r="C300" s="1"/>
      <c r="D300" s="1"/>
      <c r="BJ300" s="1">
        <v>248</v>
      </c>
      <c r="BK300" s="1">
        <v>1.0023299999999999</v>
      </c>
    </row>
    <row r="301" spans="2:63" ht="15" customHeight="1" x14ac:dyDescent="0.25">
      <c r="B301" s="1"/>
      <c r="C301" s="1"/>
      <c r="D301" s="1"/>
      <c r="BJ301" s="1">
        <v>249</v>
      </c>
      <c r="BK301" s="1">
        <v>1.00234</v>
      </c>
    </row>
    <row r="302" spans="2:63" ht="15" customHeight="1" x14ac:dyDescent="0.25">
      <c r="B302" s="1"/>
      <c r="C302" s="1"/>
      <c r="D302" s="1"/>
      <c r="BJ302" s="1">
        <v>250</v>
      </c>
      <c r="BK302" s="1">
        <v>1.0023599999999999</v>
      </c>
    </row>
    <row r="303" spans="2:63" ht="15" customHeight="1" x14ac:dyDescent="0.25">
      <c r="B303" s="1"/>
      <c r="C303" s="1"/>
      <c r="D303" s="1"/>
      <c r="BJ303" s="1">
        <v>251</v>
      </c>
      <c r="BK303" s="1">
        <v>1.00237</v>
      </c>
    </row>
    <row r="304" spans="2:63" ht="15" customHeight="1" x14ac:dyDescent="0.25">
      <c r="B304" s="1"/>
      <c r="C304" s="1"/>
      <c r="D304" s="1"/>
      <c r="BJ304" s="1">
        <v>252</v>
      </c>
      <c r="BK304" s="1">
        <v>1.00238</v>
      </c>
    </row>
    <row r="305" spans="2:63" ht="15" customHeight="1" x14ac:dyDescent="0.25">
      <c r="B305" s="1"/>
      <c r="C305" s="1"/>
      <c r="D305" s="1"/>
      <c r="BJ305" s="1">
        <v>253</v>
      </c>
      <c r="BK305" s="1">
        <v>1.0023899999999999</v>
      </c>
    </row>
    <row r="306" spans="2:63" ht="15" customHeight="1" x14ac:dyDescent="0.25">
      <c r="B306" s="1"/>
      <c r="C306" s="1"/>
      <c r="D306" s="1"/>
      <c r="BJ306" s="1">
        <v>254</v>
      </c>
      <c r="BK306" s="1">
        <v>1.00241</v>
      </c>
    </row>
    <row r="307" spans="2:63" ht="15" customHeight="1" x14ac:dyDescent="0.25">
      <c r="B307" s="1"/>
      <c r="C307" s="1"/>
      <c r="D307" s="1"/>
      <c r="BJ307" s="1">
        <v>255</v>
      </c>
      <c r="BK307" s="1">
        <v>1.0024200000000001</v>
      </c>
    </row>
    <row r="308" spans="2:63" ht="15" customHeight="1" x14ac:dyDescent="0.25">
      <c r="B308" s="1"/>
      <c r="C308" s="1"/>
      <c r="D308" s="1"/>
      <c r="BJ308" s="1">
        <v>256</v>
      </c>
      <c r="BK308" s="1">
        <v>1.0024299999999999</v>
      </c>
    </row>
    <row r="309" spans="2:63" ht="15" customHeight="1" x14ac:dyDescent="0.25">
      <c r="B309" s="1"/>
      <c r="C309" s="1"/>
      <c r="D309" s="1"/>
      <c r="BJ309" s="1">
        <v>257</v>
      </c>
      <c r="BK309" s="1">
        <v>1.00244</v>
      </c>
    </row>
    <row r="310" spans="2:63" ht="15" customHeight="1" x14ac:dyDescent="0.25">
      <c r="B310" s="1"/>
      <c r="C310" s="1"/>
      <c r="D310" s="1"/>
      <c r="BJ310" s="1">
        <v>258</v>
      </c>
      <c r="BK310" s="1">
        <v>1.0024599999999999</v>
      </c>
    </row>
    <row r="311" spans="2:63" ht="15" customHeight="1" x14ac:dyDescent="0.25">
      <c r="B311" s="1"/>
      <c r="C311" s="1"/>
      <c r="D311" s="1"/>
      <c r="BJ311" s="1">
        <v>259</v>
      </c>
      <c r="BK311" s="1">
        <v>1.00247</v>
      </c>
    </row>
    <row r="312" spans="2:63" ht="15" customHeight="1" x14ac:dyDescent="0.25">
      <c r="B312" s="1"/>
      <c r="C312" s="1"/>
      <c r="D312" s="1"/>
      <c r="BJ312" s="1">
        <v>260</v>
      </c>
      <c r="BK312" s="1">
        <v>1.00248</v>
      </c>
    </row>
    <row r="313" spans="2:63" ht="15" customHeight="1" x14ac:dyDescent="0.25">
      <c r="B313" s="1"/>
      <c r="C313" s="1"/>
      <c r="D313" s="1"/>
      <c r="BJ313" s="1">
        <v>261</v>
      </c>
      <c r="BK313" s="1">
        <v>1.0024900000000001</v>
      </c>
    </row>
    <row r="314" spans="2:63" ht="15" customHeight="1" x14ac:dyDescent="0.25">
      <c r="B314" s="1"/>
      <c r="C314" s="1"/>
      <c r="D314" s="1"/>
      <c r="BJ314" s="1">
        <v>262</v>
      </c>
      <c r="BK314" s="1">
        <v>1.00251</v>
      </c>
    </row>
    <row r="315" spans="2:63" ht="15" customHeight="1" x14ac:dyDescent="0.25">
      <c r="B315" s="1"/>
      <c r="C315" s="1"/>
      <c r="D315" s="1"/>
      <c r="BJ315" s="1">
        <v>263</v>
      </c>
      <c r="BK315" s="1">
        <v>1.0025200000000001</v>
      </c>
    </row>
    <row r="316" spans="2:63" ht="15" customHeight="1" x14ac:dyDescent="0.25">
      <c r="B316" s="1"/>
      <c r="C316" s="1"/>
      <c r="D316" s="1"/>
      <c r="BJ316" s="1">
        <v>264</v>
      </c>
      <c r="BK316" s="1">
        <v>1.0025299999999999</v>
      </c>
    </row>
    <row r="317" spans="2:63" ht="15" customHeight="1" x14ac:dyDescent="0.25">
      <c r="B317" s="1"/>
      <c r="C317" s="1"/>
      <c r="D317" s="1"/>
      <c r="BJ317" s="1">
        <v>265</v>
      </c>
      <c r="BK317" s="1">
        <v>1.00254</v>
      </c>
    </row>
    <row r="318" spans="2:63" ht="15" customHeight="1" x14ac:dyDescent="0.25">
      <c r="B318" s="1"/>
      <c r="C318" s="1"/>
      <c r="D318" s="1"/>
      <c r="BJ318" s="1">
        <v>266</v>
      </c>
      <c r="BK318" s="1">
        <v>1.0025599999999999</v>
      </c>
    </row>
    <row r="319" spans="2:63" ht="15" customHeight="1" x14ac:dyDescent="0.25">
      <c r="B319" s="1"/>
      <c r="C319" s="1"/>
      <c r="D319" s="1"/>
      <c r="BJ319" s="1">
        <v>267</v>
      </c>
      <c r="BK319" s="1">
        <v>1.00257</v>
      </c>
    </row>
    <row r="320" spans="2:63" ht="15" customHeight="1" x14ac:dyDescent="0.25">
      <c r="B320" s="1"/>
      <c r="C320" s="1"/>
      <c r="D320" s="1"/>
      <c r="BJ320" s="1">
        <v>268</v>
      </c>
      <c r="BK320" s="1">
        <v>1.00258</v>
      </c>
    </row>
    <row r="321" spans="2:63" ht="15" customHeight="1" x14ac:dyDescent="0.25">
      <c r="B321" s="1"/>
      <c r="C321" s="1"/>
      <c r="D321" s="1"/>
      <c r="BJ321" s="1">
        <v>269</v>
      </c>
      <c r="BK321" s="1">
        <v>1.0025900000000001</v>
      </c>
    </row>
    <row r="322" spans="2:63" ht="15" customHeight="1" x14ac:dyDescent="0.25">
      <c r="B322" s="1"/>
      <c r="C322" s="1"/>
      <c r="D322" s="1"/>
      <c r="BJ322" s="1">
        <v>270</v>
      </c>
      <c r="BK322" s="1">
        <v>1.00261</v>
      </c>
    </row>
    <row r="323" spans="2:63" ht="15" customHeight="1" x14ac:dyDescent="0.25">
      <c r="B323" s="1"/>
      <c r="C323" s="1"/>
      <c r="D323" s="1"/>
      <c r="BJ323" s="1">
        <v>271</v>
      </c>
      <c r="BK323" s="1">
        <v>1.0026200000000001</v>
      </c>
    </row>
    <row r="324" spans="2:63" ht="15" customHeight="1" x14ac:dyDescent="0.25">
      <c r="B324" s="1"/>
      <c r="C324" s="1"/>
      <c r="D324" s="1"/>
      <c r="BJ324" s="1">
        <v>272</v>
      </c>
      <c r="BK324" s="1">
        <v>1.0026299999999999</v>
      </c>
    </row>
    <row r="325" spans="2:63" ht="15" customHeight="1" x14ac:dyDescent="0.25">
      <c r="B325" s="1"/>
      <c r="C325" s="1"/>
      <c r="D325" s="1"/>
      <c r="BJ325" s="1">
        <v>273</v>
      </c>
      <c r="BK325" s="1">
        <v>1.00264</v>
      </c>
    </row>
    <row r="326" spans="2:63" ht="15" customHeight="1" x14ac:dyDescent="0.25">
      <c r="B326" s="1"/>
      <c r="C326" s="1"/>
      <c r="D326" s="1"/>
      <c r="BJ326" s="1">
        <v>274</v>
      </c>
      <c r="BK326" s="1">
        <v>1.0026600000000001</v>
      </c>
    </row>
    <row r="327" spans="2:63" ht="15" customHeight="1" x14ac:dyDescent="0.25">
      <c r="B327" s="1"/>
      <c r="C327" s="1"/>
      <c r="D327" s="1"/>
      <c r="BJ327" s="1">
        <v>275</v>
      </c>
      <c r="BK327" s="1">
        <v>1.00267</v>
      </c>
    </row>
    <row r="328" spans="2:63" ht="15" customHeight="1" x14ac:dyDescent="0.25">
      <c r="B328" s="1"/>
      <c r="C328" s="1"/>
      <c r="D328" s="1"/>
      <c r="BJ328" s="1">
        <v>276</v>
      </c>
      <c r="BK328" s="1">
        <v>1.00268</v>
      </c>
    </row>
    <row r="329" spans="2:63" ht="15" customHeight="1" x14ac:dyDescent="0.25">
      <c r="B329" s="1"/>
      <c r="C329" s="1"/>
      <c r="D329" s="1"/>
      <c r="BJ329" s="1">
        <v>277</v>
      </c>
      <c r="BK329" s="1">
        <v>1.0026900000000001</v>
      </c>
    </row>
    <row r="330" spans="2:63" ht="15" customHeight="1" x14ac:dyDescent="0.25">
      <c r="B330" s="1"/>
      <c r="C330" s="1"/>
      <c r="D330" s="1"/>
      <c r="BJ330" s="1">
        <v>278</v>
      </c>
      <c r="BK330" s="1">
        <v>1.00271</v>
      </c>
    </row>
    <row r="331" spans="2:63" ht="15" customHeight="1" x14ac:dyDescent="0.25">
      <c r="B331" s="1"/>
      <c r="C331" s="1"/>
      <c r="D331" s="1"/>
      <c r="BJ331" s="1">
        <v>279</v>
      </c>
      <c r="BK331" s="1">
        <v>1.0027200000000001</v>
      </c>
    </row>
    <row r="332" spans="2:63" ht="15" customHeight="1" x14ac:dyDescent="0.25">
      <c r="B332" s="1"/>
      <c r="C332" s="1"/>
      <c r="D332" s="1"/>
      <c r="BJ332" s="1">
        <v>280</v>
      </c>
      <c r="BK332" s="1">
        <v>1.0027299999999999</v>
      </c>
    </row>
    <row r="333" spans="2:63" ht="15" customHeight="1" x14ac:dyDescent="0.25">
      <c r="B333" s="1"/>
      <c r="C333" s="1"/>
      <c r="D333" s="1"/>
      <c r="BJ333" s="1">
        <v>281</v>
      </c>
      <c r="BK333" s="1">
        <v>1.00274</v>
      </c>
    </row>
    <row r="334" spans="2:63" ht="15" customHeight="1" x14ac:dyDescent="0.25">
      <c r="B334" s="1"/>
      <c r="C334" s="1"/>
      <c r="D334" s="1"/>
      <c r="BJ334" s="1">
        <v>282</v>
      </c>
      <c r="BK334" s="1">
        <v>1.00275</v>
      </c>
    </row>
    <row r="335" spans="2:63" ht="15" customHeight="1" x14ac:dyDescent="0.25">
      <c r="B335" s="1"/>
      <c r="C335" s="1"/>
      <c r="D335" s="1"/>
      <c r="BJ335" s="1">
        <v>283</v>
      </c>
      <c r="BK335" s="1">
        <v>1.0027699999999999</v>
      </c>
    </row>
    <row r="336" spans="2:63" ht="15" customHeight="1" x14ac:dyDescent="0.25">
      <c r="B336" s="1"/>
      <c r="C336" s="1"/>
      <c r="D336" s="1"/>
      <c r="BJ336" s="1">
        <v>284</v>
      </c>
      <c r="BK336" s="1">
        <v>1.00278</v>
      </c>
    </row>
    <row r="337" spans="2:63" ht="15" customHeight="1" x14ac:dyDescent="0.25">
      <c r="B337" s="1"/>
      <c r="C337" s="1"/>
      <c r="D337" s="1"/>
      <c r="BJ337" s="1">
        <v>285</v>
      </c>
      <c r="BK337" s="1">
        <v>1.0027900000000001</v>
      </c>
    </row>
    <row r="338" spans="2:63" ht="15" customHeight="1" x14ac:dyDescent="0.25">
      <c r="B338" s="1"/>
      <c r="C338" s="1"/>
      <c r="D338" s="1"/>
      <c r="BJ338" s="1">
        <v>286</v>
      </c>
      <c r="BK338" s="1">
        <v>1.0027999999999999</v>
      </c>
    </row>
    <row r="339" spans="2:63" ht="15" customHeight="1" x14ac:dyDescent="0.25">
      <c r="B339" s="1"/>
      <c r="C339" s="1"/>
      <c r="D339" s="1"/>
      <c r="BJ339" s="1">
        <v>287</v>
      </c>
      <c r="BK339" s="1">
        <v>1.00282</v>
      </c>
    </row>
    <row r="340" spans="2:63" ht="15" customHeight="1" x14ac:dyDescent="0.25">
      <c r="B340" s="1"/>
      <c r="C340" s="1"/>
      <c r="D340" s="1"/>
      <c r="BJ340" s="1">
        <v>288</v>
      </c>
      <c r="BK340" s="1">
        <v>1.0028300000000001</v>
      </c>
    </row>
    <row r="341" spans="2:63" ht="15" customHeight="1" x14ac:dyDescent="0.25">
      <c r="B341" s="1"/>
      <c r="C341" s="1"/>
      <c r="D341" s="1"/>
      <c r="BJ341" s="1">
        <v>289</v>
      </c>
      <c r="BK341" s="1">
        <v>1.00284</v>
      </c>
    </row>
    <row r="342" spans="2:63" ht="15" customHeight="1" x14ac:dyDescent="0.25">
      <c r="B342" s="1"/>
      <c r="C342" s="1"/>
      <c r="D342" s="1"/>
      <c r="BJ342" s="1">
        <v>290</v>
      </c>
      <c r="BK342" s="1">
        <v>1.00285</v>
      </c>
    </row>
    <row r="343" spans="2:63" ht="15" customHeight="1" x14ac:dyDescent="0.25">
      <c r="B343" s="1"/>
      <c r="C343" s="1"/>
      <c r="D343" s="1"/>
      <c r="BJ343" s="1">
        <v>291</v>
      </c>
      <c r="BK343" s="1">
        <v>1.0028699999999999</v>
      </c>
    </row>
    <row r="344" spans="2:63" ht="15" customHeight="1" x14ac:dyDescent="0.25">
      <c r="B344" s="1"/>
      <c r="C344" s="1"/>
      <c r="D344" s="1"/>
      <c r="BJ344" s="1">
        <v>292</v>
      </c>
      <c r="BK344" s="1">
        <v>1.00288</v>
      </c>
    </row>
    <row r="345" spans="2:63" ht="15" customHeight="1" x14ac:dyDescent="0.25">
      <c r="B345" s="1"/>
      <c r="C345" s="1"/>
      <c r="D345" s="1"/>
      <c r="BJ345" s="1">
        <v>293</v>
      </c>
      <c r="BK345" s="1">
        <v>1.0028900000000001</v>
      </c>
    </row>
    <row r="346" spans="2:63" ht="15" customHeight="1" x14ac:dyDescent="0.25">
      <c r="B346" s="1"/>
      <c r="C346" s="1"/>
      <c r="D346" s="1"/>
      <c r="BJ346" s="1">
        <v>294</v>
      </c>
      <c r="BK346" s="1">
        <v>1.0028999999999999</v>
      </c>
    </row>
    <row r="347" spans="2:63" ht="15" customHeight="1" x14ac:dyDescent="0.25">
      <c r="B347" s="1"/>
      <c r="C347" s="1"/>
      <c r="D347" s="1"/>
      <c r="BJ347" s="1">
        <v>295</v>
      </c>
      <c r="BK347" s="1">
        <v>1.00292</v>
      </c>
    </row>
    <row r="348" spans="2:63" ht="15" customHeight="1" x14ac:dyDescent="0.25">
      <c r="B348" s="1"/>
      <c r="C348" s="1"/>
      <c r="D348" s="1"/>
      <c r="BJ348" s="1">
        <v>296</v>
      </c>
      <c r="BK348" s="1">
        <v>1.0029300000000001</v>
      </c>
    </row>
    <row r="349" spans="2:63" ht="15" customHeight="1" x14ac:dyDescent="0.25">
      <c r="B349" s="1"/>
      <c r="C349" s="1"/>
      <c r="D349" s="1"/>
      <c r="BJ349" s="1">
        <v>297</v>
      </c>
      <c r="BK349" s="1">
        <v>1.0029399999999999</v>
      </c>
    </row>
    <row r="350" spans="2:63" ht="15" customHeight="1" x14ac:dyDescent="0.25">
      <c r="B350" s="1"/>
      <c r="C350" s="1"/>
      <c r="D350" s="1"/>
      <c r="BJ350" s="1">
        <v>298</v>
      </c>
      <c r="BK350" s="1">
        <v>1.00295</v>
      </c>
    </row>
    <row r="351" spans="2:63" ht="15" customHeight="1" x14ac:dyDescent="0.25">
      <c r="B351" s="1"/>
      <c r="C351" s="1"/>
      <c r="D351" s="1"/>
      <c r="BJ351" s="1">
        <v>299</v>
      </c>
      <c r="BK351" s="1">
        <v>1.0029699999999999</v>
      </c>
    </row>
    <row r="352" spans="2:63" ht="15" customHeight="1" x14ac:dyDescent="0.25">
      <c r="B352" s="1"/>
      <c r="C352" s="1"/>
      <c r="D352" s="1"/>
      <c r="BJ352" s="1">
        <v>300</v>
      </c>
      <c r="BK352" s="1">
        <v>1.00298</v>
      </c>
    </row>
    <row r="353" spans="2:4" ht="15" customHeight="1" x14ac:dyDescent="0.25">
      <c r="B353" s="1"/>
      <c r="C353" s="1"/>
      <c r="D353" s="1"/>
    </row>
    <row r="354" spans="2:4" ht="15" customHeight="1" x14ac:dyDescent="0.25">
      <c r="B354" s="1"/>
      <c r="C354" s="1"/>
      <c r="D354" s="1"/>
    </row>
    <row r="355" spans="2:4" ht="15" customHeight="1" x14ac:dyDescent="0.25">
      <c r="B355" s="1"/>
      <c r="C355" s="1"/>
      <c r="D355" s="1"/>
    </row>
    <row r="356" spans="2:4" ht="15" customHeight="1" x14ac:dyDescent="0.25">
      <c r="B356" s="1"/>
      <c r="C356" s="1"/>
      <c r="D356" s="1"/>
    </row>
    <row r="357" spans="2:4" ht="15" customHeight="1" x14ac:dyDescent="0.25">
      <c r="B357" s="1"/>
      <c r="C357" s="1"/>
      <c r="D357" s="1"/>
    </row>
    <row r="358" spans="2:4" ht="15" customHeight="1" x14ac:dyDescent="0.25">
      <c r="B358" s="1"/>
      <c r="C358" s="1"/>
      <c r="D358" s="1"/>
    </row>
    <row r="359" spans="2:4" ht="15" customHeight="1" x14ac:dyDescent="0.25">
      <c r="B359" s="1"/>
      <c r="C359" s="1"/>
      <c r="D359" s="1"/>
    </row>
    <row r="360" spans="2:4" ht="15" customHeight="1" x14ac:dyDescent="0.25">
      <c r="B360" s="1"/>
      <c r="C360" s="1"/>
      <c r="D360" s="1"/>
    </row>
    <row r="361" spans="2:4" ht="15" customHeight="1" x14ac:dyDescent="0.25">
      <c r="B361" s="1"/>
      <c r="C361" s="1"/>
      <c r="D361" s="1"/>
    </row>
    <row r="362" spans="2:4" ht="15" customHeight="1" x14ac:dyDescent="0.25">
      <c r="B362" s="1"/>
      <c r="C362" s="1"/>
      <c r="D362" s="1"/>
    </row>
    <row r="363" spans="2:4" ht="15" customHeight="1" x14ac:dyDescent="0.25">
      <c r="B363" s="1"/>
      <c r="C363" s="1"/>
      <c r="D363" s="1"/>
    </row>
    <row r="364" spans="2:4" ht="15" customHeight="1" x14ac:dyDescent="0.25">
      <c r="B364" s="1"/>
      <c r="C364" s="1"/>
      <c r="D364" s="1"/>
    </row>
    <row r="365" spans="2:4" ht="15" customHeight="1" x14ac:dyDescent="0.25">
      <c r="B365" s="1"/>
      <c r="C365" s="1"/>
      <c r="D365" s="1"/>
    </row>
    <row r="366" spans="2:4" ht="15" customHeight="1" x14ac:dyDescent="0.25">
      <c r="B366" s="1"/>
      <c r="C366" s="1"/>
      <c r="D366" s="1"/>
    </row>
    <row r="367" spans="2:4" ht="15" customHeight="1" x14ac:dyDescent="0.25">
      <c r="B367" s="1"/>
      <c r="C367" s="1"/>
      <c r="D367" s="1"/>
    </row>
    <row r="368" spans="2:4" ht="15" customHeight="1" x14ac:dyDescent="0.25">
      <c r="B368" s="1"/>
      <c r="C368" s="1"/>
      <c r="D368" s="1"/>
    </row>
    <row r="369" spans="2:4" ht="15" customHeight="1" x14ac:dyDescent="0.25">
      <c r="B369" s="1"/>
      <c r="C369" s="1"/>
      <c r="D369" s="1"/>
    </row>
    <row r="370" spans="2:4" ht="15" customHeight="1" x14ac:dyDescent="0.25">
      <c r="B370" s="1"/>
      <c r="C370" s="1"/>
      <c r="D370" s="1"/>
    </row>
    <row r="371" spans="2:4" ht="15" customHeight="1" x14ac:dyDescent="0.25">
      <c r="B371" s="1"/>
      <c r="C371" s="1"/>
      <c r="D371" s="1"/>
    </row>
    <row r="372" spans="2:4" ht="15" customHeight="1" x14ac:dyDescent="0.25">
      <c r="B372" s="1"/>
      <c r="C372" s="1"/>
      <c r="D372" s="1"/>
    </row>
    <row r="373" spans="2:4" ht="15" customHeight="1" x14ac:dyDescent="0.25">
      <c r="B373" s="1"/>
      <c r="C373" s="1"/>
      <c r="D373" s="1"/>
    </row>
    <row r="374" spans="2:4" ht="15" customHeight="1" x14ac:dyDescent="0.25">
      <c r="B374" s="1"/>
      <c r="C374" s="1"/>
      <c r="D374" s="1"/>
    </row>
    <row r="375" spans="2:4" ht="15" customHeight="1" x14ac:dyDescent="0.25">
      <c r="B375" s="1"/>
      <c r="C375" s="1"/>
      <c r="D375" s="1"/>
    </row>
    <row r="376" spans="2:4" ht="15" customHeight="1" x14ac:dyDescent="0.25">
      <c r="B376" s="1"/>
      <c r="C376" s="1"/>
      <c r="D376" s="1"/>
    </row>
    <row r="377" spans="2:4" ht="15" customHeight="1" x14ac:dyDescent="0.25">
      <c r="B377" s="1"/>
      <c r="C377" s="1"/>
      <c r="D377" s="1"/>
    </row>
    <row r="378" spans="2:4" ht="15" customHeight="1" x14ac:dyDescent="0.25">
      <c r="B378" s="1"/>
      <c r="C378" s="1"/>
      <c r="D378" s="1"/>
    </row>
    <row r="379" spans="2:4" ht="15" customHeight="1" x14ac:dyDescent="0.25">
      <c r="B379" s="1"/>
      <c r="C379" s="1"/>
      <c r="D379" s="1"/>
    </row>
    <row r="380" spans="2:4" ht="15" customHeight="1" x14ac:dyDescent="0.25">
      <c r="B380" s="1"/>
      <c r="C380" s="1"/>
      <c r="D380" s="1"/>
    </row>
    <row r="381" spans="2:4" ht="15" customHeight="1" x14ac:dyDescent="0.25">
      <c r="B381" s="1"/>
      <c r="C381" s="1"/>
      <c r="D381" s="1"/>
    </row>
    <row r="382" spans="2:4" ht="15" customHeight="1" x14ac:dyDescent="0.25">
      <c r="B382" s="1"/>
      <c r="C382" s="1"/>
      <c r="D382" s="1"/>
    </row>
    <row r="383" spans="2:4" ht="15" customHeight="1" x14ac:dyDescent="0.25">
      <c r="B383" s="1"/>
      <c r="C383" s="1"/>
      <c r="D383" s="1"/>
    </row>
    <row r="384" spans="2:4" ht="15" customHeight="1" x14ac:dyDescent="0.25">
      <c r="B384" s="1"/>
      <c r="C384" s="1"/>
      <c r="D384" s="1"/>
    </row>
    <row r="385" spans="2:4" ht="15" customHeight="1" x14ac:dyDescent="0.25">
      <c r="B385" s="1"/>
      <c r="C385" s="1"/>
      <c r="D385" s="1"/>
    </row>
    <row r="386" spans="2:4" ht="15" customHeight="1" x14ac:dyDescent="0.25">
      <c r="B386" s="1"/>
      <c r="C386" s="1"/>
      <c r="D386" s="1"/>
    </row>
    <row r="387" spans="2:4" ht="15" customHeight="1" x14ac:dyDescent="0.25">
      <c r="B387" s="1"/>
      <c r="C387" s="1"/>
      <c r="D387" s="1"/>
    </row>
    <row r="388" spans="2:4" ht="15" customHeight="1" x14ac:dyDescent="0.25">
      <c r="B388" s="1"/>
      <c r="C388" s="1"/>
      <c r="D388" s="1"/>
    </row>
    <row r="389" spans="2:4" ht="15" customHeight="1" x14ac:dyDescent="0.25">
      <c r="B389" s="1"/>
      <c r="C389" s="1"/>
      <c r="D389" s="1"/>
    </row>
    <row r="390" spans="2:4" ht="15" customHeight="1" x14ac:dyDescent="0.25">
      <c r="B390" s="1"/>
      <c r="C390" s="1"/>
      <c r="D390" s="1"/>
    </row>
    <row r="391" spans="2:4" ht="15" customHeight="1" x14ac:dyDescent="0.25">
      <c r="B391" s="1"/>
      <c r="C391" s="1"/>
      <c r="D391" s="1"/>
    </row>
    <row r="392" spans="2:4" ht="15" customHeight="1" x14ac:dyDescent="0.25">
      <c r="B392" s="1"/>
      <c r="C392" s="1"/>
      <c r="D392" s="1"/>
    </row>
    <row r="393" spans="2:4" ht="15" customHeight="1" x14ac:dyDescent="0.25">
      <c r="B393" s="1"/>
      <c r="C393" s="1"/>
      <c r="D393" s="1"/>
    </row>
    <row r="394" spans="2:4" ht="15" customHeight="1" x14ac:dyDescent="0.25">
      <c r="B394" s="1"/>
      <c r="C394" s="1"/>
      <c r="D394" s="1"/>
    </row>
    <row r="395" spans="2:4" ht="15" customHeight="1" x14ac:dyDescent="0.25">
      <c r="B395" s="1"/>
      <c r="C395" s="1"/>
      <c r="D395" s="1"/>
    </row>
    <row r="396" spans="2:4" ht="15" customHeight="1" x14ac:dyDescent="0.25">
      <c r="B396" s="1"/>
      <c r="C396" s="1"/>
      <c r="D396" s="1"/>
    </row>
    <row r="397" spans="2:4" ht="15" customHeight="1" x14ac:dyDescent="0.25">
      <c r="B397" s="1"/>
      <c r="C397" s="1"/>
      <c r="D397" s="1"/>
    </row>
    <row r="398" spans="2:4" ht="15" customHeight="1" x14ac:dyDescent="0.25">
      <c r="B398" s="1"/>
      <c r="C398" s="1"/>
      <c r="D398" s="1"/>
    </row>
    <row r="399" spans="2:4" ht="15" customHeight="1" x14ac:dyDescent="0.25">
      <c r="B399" s="1"/>
      <c r="C399" s="1"/>
      <c r="D399" s="1"/>
    </row>
    <row r="400" spans="2:4" ht="15" customHeight="1" x14ac:dyDescent="0.25">
      <c r="B400" s="1"/>
      <c r="C400" s="1"/>
      <c r="D400" s="1"/>
    </row>
    <row r="401" spans="2:4" ht="15" customHeight="1" x14ac:dyDescent="0.25">
      <c r="B401" s="1"/>
      <c r="C401" s="1"/>
      <c r="D401" s="1"/>
    </row>
    <row r="402" spans="2:4" ht="15" customHeight="1" x14ac:dyDescent="0.25">
      <c r="B402" s="1"/>
      <c r="C402" s="1"/>
      <c r="D402" s="1"/>
    </row>
    <row r="403" spans="2:4" ht="15" customHeight="1" x14ac:dyDescent="0.25">
      <c r="B403" s="1"/>
      <c r="C403" s="1"/>
      <c r="D403" s="1"/>
    </row>
    <row r="404" spans="2:4" ht="15" customHeight="1" x14ac:dyDescent="0.25">
      <c r="B404" s="1"/>
      <c r="C404" s="1"/>
      <c r="D404" s="1"/>
    </row>
    <row r="405" spans="2:4" ht="15" customHeight="1" x14ac:dyDescent="0.25">
      <c r="B405" s="1"/>
      <c r="C405" s="1"/>
      <c r="D405" s="1"/>
    </row>
    <row r="406" spans="2:4" ht="15" customHeight="1" x14ac:dyDescent="0.25">
      <c r="B406" s="1"/>
      <c r="C406" s="1"/>
      <c r="D406" s="1"/>
    </row>
    <row r="407" spans="2:4" ht="15" customHeight="1" x14ac:dyDescent="0.25">
      <c r="B407" s="1"/>
      <c r="C407" s="1"/>
      <c r="D407" s="1"/>
    </row>
    <row r="408" spans="2:4" ht="15" customHeight="1" x14ac:dyDescent="0.25">
      <c r="B408" s="1"/>
      <c r="C408" s="1"/>
      <c r="D408" s="1"/>
    </row>
    <row r="409" spans="2:4" ht="15" customHeight="1" x14ac:dyDescent="0.25">
      <c r="B409" s="1"/>
      <c r="C409" s="1"/>
      <c r="D409" s="1"/>
    </row>
    <row r="410" spans="2:4" ht="15" customHeight="1" x14ac:dyDescent="0.25">
      <c r="B410" s="1"/>
      <c r="C410" s="1"/>
      <c r="D410" s="1"/>
    </row>
    <row r="411" spans="2:4" ht="15" customHeight="1" x14ac:dyDescent="0.25">
      <c r="B411" s="1"/>
      <c r="C411" s="1"/>
      <c r="D411" s="1"/>
    </row>
    <row r="412" spans="2:4" ht="15" customHeight="1" x14ac:dyDescent="0.25">
      <c r="B412" s="1"/>
      <c r="C412" s="1"/>
      <c r="D412" s="1"/>
    </row>
    <row r="413" spans="2:4" ht="15" customHeight="1" x14ac:dyDescent="0.25">
      <c r="B413" s="1"/>
      <c r="C413" s="1"/>
      <c r="D413" s="1"/>
    </row>
    <row r="414" spans="2:4" ht="15" customHeight="1" x14ac:dyDescent="0.25">
      <c r="B414" s="1"/>
      <c r="C414" s="1"/>
      <c r="D414" s="1"/>
    </row>
    <row r="415" spans="2:4" ht="15" customHeight="1" x14ac:dyDescent="0.25">
      <c r="B415" s="1"/>
      <c r="C415" s="1"/>
      <c r="D415" s="1"/>
    </row>
    <row r="416" spans="2:4" ht="15" customHeight="1" x14ac:dyDescent="0.25">
      <c r="B416" s="1"/>
      <c r="C416" s="1"/>
      <c r="D416" s="1"/>
    </row>
    <row r="417" spans="2:4" ht="15" customHeight="1" x14ac:dyDescent="0.25">
      <c r="B417" s="1"/>
      <c r="C417" s="1"/>
      <c r="D417" s="1"/>
    </row>
    <row r="418" spans="2:4" ht="15" customHeight="1" x14ac:dyDescent="0.25">
      <c r="B418" s="1"/>
      <c r="C418" s="1"/>
      <c r="D418" s="1"/>
    </row>
    <row r="419" spans="2:4" ht="15" customHeight="1" x14ac:dyDescent="0.25">
      <c r="B419" s="1"/>
      <c r="C419" s="1"/>
      <c r="D419" s="1"/>
    </row>
    <row r="420" spans="2:4" ht="15" customHeight="1" x14ac:dyDescent="0.25">
      <c r="B420" s="1"/>
      <c r="C420" s="1"/>
      <c r="D420" s="1"/>
    </row>
    <row r="421" spans="2:4" ht="15" customHeight="1" x14ac:dyDescent="0.25">
      <c r="B421" s="1"/>
      <c r="C421" s="1"/>
      <c r="D421" s="1"/>
    </row>
    <row r="422" spans="2:4" ht="15" customHeight="1" x14ac:dyDescent="0.25">
      <c r="B422" s="1"/>
      <c r="C422" s="1"/>
      <c r="D422" s="1"/>
    </row>
    <row r="423" spans="2:4" ht="15" customHeight="1" x14ac:dyDescent="0.25">
      <c r="B423" s="1"/>
      <c r="C423" s="1"/>
      <c r="D423" s="1"/>
    </row>
    <row r="424" spans="2:4" ht="15" customHeight="1" x14ac:dyDescent="0.25">
      <c r="B424" s="1"/>
      <c r="C424" s="1"/>
      <c r="D424" s="1"/>
    </row>
    <row r="425" spans="2:4" ht="15" customHeight="1" x14ac:dyDescent="0.25">
      <c r="B425" s="1"/>
      <c r="C425" s="1"/>
      <c r="D425" s="1"/>
    </row>
    <row r="426" spans="2:4" ht="15" customHeight="1" x14ac:dyDescent="0.25">
      <c r="B426" s="1"/>
      <c r="C426" s="1"/>
      <c r="D426" s="1"/>
    </row>
    <row r="427" spans="2:4" ht="15" customHeight="1" x14ac:dyDescent="0.25">
      <c r="B427" s="1"/>
      <c r="C427" s="1"/>
      <c r="D427" s="1"/>
    </row>
    <row r="428" spans="2:4" ht="15" customHeight="1" x14ac:dyDescent="0.25">
      <c r="B428" s="1"/>
      <c r="C428" s="1"/>
      <c r="D428" s="1"/>
    </row>
    <row r="429" spans="2:4" ht="15" customHeight="1" x14ac:dyDescent="0.25">
      <c r="B429" s="1"/>
      <c r="C429" s="1"/>
      <c r="D429" s="1"/>
    </row>
    <row r="430" spans="2:4" ht="15" customHeight="1" x14ac:dyDescent="0.25">
      <c r="B430" s="1"/>
      <c r="C430" s="1"/>
      <c r="D430" s="1"/>
    </row>
    <row r="431" spans="2:4" ht="15" customHeight="1" x14ac:dyDescent="0.25">
      <c r="B431" s="1"/>
      <c r="C431" s="1"/>
      <c r="D431" s="1"/>
    </row>
    <row r="432" spans="2:4" ht="15" customHeight="1" x14ac:dyDescent="0.25">
      <c r="B432" s="1"/>
      <c r="C432" s="1"/>
      <c r="D432" s="1"/>
    </row>
    <row r="433" spans="2:4" ht="15" customHeight="1" x14ac:dyDescent="0.25">
      <c r="B433" s="1"/>
      <c r="C433" s="1"/>
      <c r="D433" s="1"/>
    </row>
    <row r="434" spans="2:4" ht="15" customHeight="1" x14ac:dyDescent="0.25">
      <c r="B434" s="1"/>
      <c r="C434" s="1"/>
      <c r="D434" s="1"/>
    </row>
    <row r="435" spans="2:4" ht="15" customHeight="1" x14ac:dyDescent="0.25">
      <c r="B435" s="1"/>
      <c r="C435" s="1"/>
      <c r="D435" s="1"/>
    </row>
    <row r="436" spans="2:4" ht="15" customHeight="1" x14ac:dyDescent="0.25">
      <c r="B436" s="1"/>
      <c r="C436" s="1"/>
      <c r="D436" s="1"/>
    </row>
    <row r="437" spans="2:4" ht="15" customHeight="1" x14ac:dyDescent="0.25">
      <c r="B437" s="1"/>
      <c r="C437" s="1"/>
      <c r="D437" s="1"/>
    </row>
    <row r="438" spans="2:4" ht="15" customHeight="1" x14ac:dyDescent="0.25">
      <c r="B438" s="1"/>
      <c r="C438" s="1"/>
      <c r="D438" s="1"/>
    </row>
    <row r="439" spans="2:4" ht="15" customHeight="1" x14ac:dyDescent="0.25">
      <c r="B439" s="1"/>
      <c r="C439" s="1"/>
      <c r="D439" s="1"/>
    </row>
    <row r="440" spans="2:4" ht="15" customHeight="1" x14ac:dyDescent="0.25">
      <c r="B440" s="1"/>
      <c r="C440" s="1"/>
      <c r="D440" s="1"/>
    </row>
    <row r="441" spans="2:4" ht="15" customHeight="1" x14ac:dyDescent="0.25">
      <c r="B441" s="1"/>
      <c r="C441" s="1"/>
      <c r="D441" s="1"/>
    </row>
    <row r="442" spans="2:4" ht="15" customHeight="1" x14ac:dyDescent="0.25">
      <c r="B442" s="1"/>
      <c r="C442" s="1"/>
      <c r="D442" s="1"/>
    </row>
    <row r="443" spans="2:4" ht="15" customHeight="1" x14ac:dyDescent="0.25">
      <c r="B443" s="1"/>
      <c r="C443" s="1"/>
      <c r="D443" s="1"/>
    </row>
    <row r="444" spans="2:4" ht="15" customHeight="1" x14ac:dyDescent="0.25">
      <c r="B444" s="1"/>
      <c r="C444" s="1"/>
      <c r="D444" s="1"/>
    </row>
    <row r="445" spans="2:4" ht="15" customHeight="1" x14ac:dyDescent="0.25">
      <c r="B445" s="1"/>
      <c r="C445" s="1"/>
      <c r="D445" s="1"/>
    </row>
    <row r="446" spans="2:4" ht="15" customHeight="1" x14ac:dyDescent="0.25">
      <c r="B446" s="1"/>
      <c r="C446" s="1"/>
      <c r="D446" s="1"/>
    </row>
    <row r="447" spans="2:4" ht="15" customHeight="1" x14ac:dyDescent="0.25">
      <c r="B447" s="1"/>
      <c r="C447" s="1"/>
      <c r="D447" s="1"/>
    </row>
    <row r="448" spans="2:4" ht="15" customHeight="1" x14ac:dyDescent="0.25">
      <c r="B448" s="1"/>
      <c r="C448" s="1"/>
      <c r="D448" s="1"/>
    </row>
    <row r="449" spans="2:4" ht="15" customHeight="1" x14ac:dyDescent="0.25">
      <c r="B449" s="1"/>
      <c r="C449" s="1"/>
      <c r="D449" s="1"/>
    </row>
    <row r="450" spans="2:4" ht="15" customHeight="1" x14ac:dyDescent="0.25">
      <c r="B450" s="1"/>
      <c r="C450" s="1"/>
      <c r="D450" s="1"/>
    </row>
    <row r="451" spans="2:4" ht="15" customHeight="1" x14ac:dyDescent="0.25">
      <c r="B451" s="1"/>
      <c r="C451" s="1"/>
      <c r="D451" s="1"/>
    </row>
    <row r="452" spans="2:4" ht="15" customHeight="1" x14ac:dyDescent="0.25">
      <c r="B452" s="1"/>
      <c r="C452" s="1"/>
      <c r="D452" s="1"/>
    </row>
    <row r="453" spans="2:4" ht="15" customHeight="1" x14ac:dyDescent="0.25">
      <c r="B453" s="1"/>
      <c r="C453" s="1"/>
      <c r="D453" s="1"/>
    </row>
    <row r="454" spans="2:4" ht="15" customHeight="1" x14ac:dyDescent="0.25">
      <c r="B454" s="1"/>
      <c r="C454" s="1"/>
      <c r="D454" s="1"/>
    </row>
    <row r="455" spans="2:4" ht="15" customHeight="1" x14ac:dyDescent="0.25">
      <c r="B455" s="1"/>
      <c r="C455" s="1"/>
      <c r="D455" s="1"/>
    </row>
    <row r="456" spans="2:4" ht="15" customHeight="1" x14ac:dyDescent="0.25">
      <c r="B456" s="1"/>
      <c r="C456" s="1"/>
      <c r="D456" s="1"/>
    </row>
    <row r="457" spans="2:4" ht="15" customHeight="1" x14ac:dyDescent="0.25">
      <c r="B457" s="1"/>
      <c r="C457" s="1"/>
      <c r="D457" s="1"/>
    </row>
    <row r="458" spans="2:4" ht="15" customHeight="1" x14ac:dyDescent="0.25">
      <c r="B458" s="1"/>
      <c r="C458" s="1"/>
      <c r="D458" s="1"/>
    </row>
    <row r="459" spans="2:4" ht="15" customHeight="1" x14ac:dyDescent="0.25">
      <c r="B459" s="1"/>
      <c r="C459" s="1"/>
      <c r="D459" s="1"/>
    </row>
    <row r="460" spans="2:4" ht="15" customHeight="1" x14ac:dyDescent="0.25">
      <c r="B460" s="1"/>
      <c r="C460" s="1"/>
      <c r="D460" s="1"/>
    </row>
    <row r="461" spans="2:4" ht="15" customHeight="1" x14ac:dyDescent="0.25">
      <c r="B461" s="1"/>
      <c r="C461" s="1"/>
      <c r="D461" s="1"/>
    </row>
    <row r="462" spans="2:4" ht="15" customHeight="1" x14ac:dyDescent="0.25">
      <c r="B462" s="1"/>
      <c r="C462" s="1"/>
      <c r="D462" s="1"/>
    </row>
    <row r="463" spans="2:4" ht="15" customHeight="1" x14ac:dyDescent="0.25">
      <c r="B463" s="1"/>
      <c r="C463" s="1"/>
      <c r="D463" s="1"/>
    </row>
    <row r="464" spans="2:4" ht="15" customHeight="1" x14ac:dyDescent="0.25">
      <c r="B464" s="1"/>
      <c r="C464" s="1"/>
      <c r="D464" s="1"/>
    </row>
    <row r="465" spans="2:4" ht="15" customHeight="1" x14ac:dyDescent="0.25">
      <c r="B465" s="1"/>
      <c r="C465" s="1"/>
      <c r="D465" s="1"/>
    </row>
    <row r="466" spans="2:4" ht="15" customHeight="1" x14ac:dyDescent="0.25">
      <c r="B466" s="1"/>
      <c r="C466" s="1"/>
      <c r="D466" s="1"/>
    </row>
    <row r="467" spans="2:4" ht="15" customHeight="1" x14ac:dyDescent="0.25">
      <c r="B467" s="1"/>
      <c r="C467" s="1"/>
      <c r="D467" s="1"/>
    </row>
    <row r="468" spans="2:4" ht="15" customHeight="1" x14ac:dyDescent="0.25">
      <c r="B468" s="1"/>
      <c r="C468" s="1"/>
      <c r="D468" s="1"/>
    </row>
    <row r="469" spans="2:4" ht="15" customHeight="1" x14ac:dyDescent="0.25">
      <c r="B469" s="1"/>
      <c r="C469" s="1"/>
      <c r="D469" s="1"/>
    </row>
    <row r="470" spans="2:4" ht="15" customHeight="1" x14ac:dyDescent="0.25">
      <c r="B470" s="1"/>
      <c r="C470" s="1"/>
      <c r="D470" s="1"/>
    </row>
    <row r="471" spans="2:4" ht="15" customHeight="1" x14ac:dyDescent="0.25">
      <c r="B471" s="1"/>
      <c r="C471" s="1"/>
      <c r="D471" s="1"/>
    </row>
    <row r="472" spans="2:4" ht="15" customHeight="1" x14ac:dyDescent="0.25">
      <c r="B472" s="1"/>
      <c r="C472" s="1"/>
      <c r="D472" s="1"/>
    </row>
    <row r="473" spans="2:4" ht="15" customHeight="1" x14ac:dyDescent="0.25">
      <c r="B473" s="1"/>
      <c r="C473" s="1"/>
      <c r="D473" s="1"/>
    </row>
    <row r="474" spans="2:4" ht="15" customHeight="1" x14ac:dyDescent="0.25">
      <c r="B474" s="1"/>
      <c r="C474" s="1"/>
      <c r="D474" s="1"/>
    </row>
  </sheetData>
  <mergeCells count="220">
    <mergeCell ref="B40:F40"/>
    <mergeCell ref="G28:J28"/>
    <mergeCell ref="T16:U16"/>
    <mergeCell ref="K22:N22"/>
    <mergeCell ref="W22:Z22"/>
    <mergeCell ref="AA20:AD20"/>
    <mergeCell ref="G30:J30"/>
    <mergeCell ref="J31:L31"/>
    <mergeCell ref="S25:V25"/>
    <mergeCell ref="R31:U31"/>
    <mergeCell ref="W30:Z30"/>
    <mergeCell ref="C33:K33"/>
    <mergeCell ref="B39:F39"/>
    <mergeCell ref="AA30:AD30"/>
    <mergeCell ref="O29:R29"/>
    <mergeCell ref="R33:Z33"/>
    <mergeCell ref="O33:Q33"/>
    <mergeCell ref="V31:Y31"/>
    <mergeCell ref="W28:Z28"/>
    <mergeCell ref="C24:F24"/>
    <mergeCell ref="C26:F26"/>
    <mergeCell ref="L6:N6"/>
    <mergeCell ref="O24:R24"/>
    <mergeCell ref="AE25:AH25"/>
    <mergeCell ref="O18:R18"/>
    <mergeCell ref="G27:J27"/>
    <mergeCell ref="AI19:AL19"/>
    <mergeCell ref="S18:V18"/>
    <mergeCell ref="S27:V27"/>
    <mergeCell ref="G17:J17"/>
    <mergeCell ref="P16:Q16"/>
    <mergeCell ref="AE18:AH18"/>
    <mergeCell ref="S17:V17"/>
    <mergeCell ref="K20:N20"/>
    <mergeCell ref="W12:Z12"/>
    <mergeCell ref="G13:J13"/>
    <mergeCell ref="S13:V13"/>
    <mergeCell ref="AE13:AH13"/>
    <mergeCell ref="G18:J18"/>
    <mergeCell ref="AI27:AL27"/>
    <mergeCell ref="AA26:AD26"/>
    <mergeCell ref="AE17:AH17"/>
    <mergeCell ref="G22:J22"/>
    <mergeCell ref="K13:N13"/>
    <mergeCell ref="W20:Z20"/>
    <mergeCell ref="K23:N23"/>
    <mergeCell ref="C23:F23"/>
    <mergeCell ref="AA21:AD21"/>
    <mergeCell ref="AE15:AH15"/>
    <mergeCell ref="AE24:AH24"/>
    <mergeCell ref="AA23:AD23"/>
    <mergeCell ref="AA17:AD17"/>
    <mergeCell ref="K25:N25"/>
    <mergeCell ref="L9:Q9"/>
    <mergeCell ref="C25:F25"/>
    <mergeCell ref="G19:J19"/>
    <mergeCell ref="B4:Z4"/>
    <mergeCell ref="K30:N30"/>
    <mergeCell ref="G11:J11"/>
    <mergeCell ref="W25:Z25"/>
    <mergeCell ref="O28:R28"/>
    <mergeCell ref="C31:D31"/>
    <mergeCell ref="E31:F31"/>
    <mergeCell ref="AA19:AD19"/>
    <mergeCell ref="AI28:AL28"/>
    <mergeCell ref="AA28:AD28"/>
    <mergeCell ref="AE22:AH22"/>
    <mergeCell ref="H16:I16"/>
    <mergeCell ref="C20:F20"/>
    <mergeCell ref="L10:M10"/>
    <mergeCell ref="K29:N29"/>
    <mergeCell ref="O30:R30"/>
    <mergeCell ref="C30:F30"/>
    <mergeCell ref="G21:J21"/>
    <mergeCell ref="AI29:AL29"/>
    <mergeCell ref="AE28:AH28"/>
    <mergeCell ref="G14:J14"/>
    <mergeCell ref="C29:F29"/>
    <mergeCell ref="AI30:AL30"/>
    <mergeCell ref="G31:I31"/>
    <mergeCell ref="B8:F8"/>
    <mergeCell ref="K15:N15"/>
    <mergeCell ref="P10:S10"/>
    <mergeCell ref="C14:F14"/>
    <mergeCell ref="AM14:AP14"/>
    <mergeCell ref="AM28:AP28"/>
    <mergeCell ref="AA13:AD13"/>
    <mergeCell ref="G23:J23"/>
    <mergeCell ref="K21:N21"/>
    <mergeCell ref="AE21:AH21"/>
    <mergeCell ref="AI15:AL15"/>
    <mergeCell ref="AA15:AD15"/>
    <mergeCell ref="AI24:AL24"/>
    <mergeCell ref="S23:V23"/>
    <mergeCell ref="B9:F9"/>
    <mergeCell ref="AE23:AH23"/>
    <mergeCell ref="AI26:AL26"/>
    <mergeCell ref="O21:R21"/>
    <mergeCell ref="G24:J24"/>
    <mergeCell ref="W26:Z26"/>
    <mergeCell ref="AA24:AD24"/>
    <mergeCell ref="G10:J10"/>
    <mergeCell ref="AM24:AP24"/>
    <mergeCell ref="O26:R26"/>
    <mergeCell ref="B66:J66"/>
    <mergeCell ref="V6:Y6"/>
    <mergeCell ref="O25:R25"/>
    <mergeCell ref="AI20:AL20"/>
    <mergeCell ref="S19:V19"/>
    <mergeCell ref="AI25:AL25"/>
    <mergeCell ref="C27:F27"/>
    <mergeCell ref="AA25:AD25"/>
    <mergeCell ref="G9:K9"/>
    <mergeCell ref="AE19:AH19"/>
    <mergeCell ref="O27:R27"/>
    <mergeCell ref="C17:F17"/>
    <mergeCell ref="L16:M16"/>
    <mergeCell ref="AA18:AD18"/>
    <mergeCell ref="B35:Z38"/>
    <mergeCell ref="O17:R17"/>
    <mergeCell ref="G20:J20"/>
    <mergeCell ref="S30:V30"/>
    <mergeCell ref="G29:J29"/>
    <mergeCell ref="S20:V20"/>
    <mergeCell ref="C19:F19"/>
    <mergeCell ref="C12:E12"/>
    <mergeCell ref="C28:F28"/>
    <mergeCell ref="W14:Z14"/>
    <mergeCell ref="O6:R6"/>
    <mergeCell ref="W15:Z15"/>
    <mergeCell ref="AM29:AP29"/>
    <mergeCell ref="O15:R15"/>
    <mergeCell ref="AM23:AP23"/>
    <mergeCell ref="W24:Z24"/>
    <mergeCell ref="M12:Q12"/>
    <mergeCell ref="AM13:AP13"/>
    <mergeCell ref="AA27:AD27"/>
    <mergeCell ref="K26:N26"/>
    <mergeCell ref="R9:V9"/>
    <mergeCell ref="R8:V8"/>
    <mergeCell ref="W9:Z9"/>
    <mergeCell ref="T10:U10"/>
    <mergeCell ref="AA22:AD22"/>
    <mergeCell ref="M11:Q11"/>
    <mergeCell ref="S22:V22"/>
    <mergeCell ref="S24:V24"/>
    <mergeCell ref="K27:N27"/>
    <mergeCell ref="W18:Z18"/>
    <mergeCell ref="W27:Z27"/>
    <mergeCell ref="AM17:AP17"/>
    <mergeCell ref="AE20:AH20"/>
    <mergeCell ref="O19:R19"/>
    <mergeCell ref="H6:J6"/>
    <mergeCell ref="C10:E10"/>
    <mergeCell ref="G26:J26"/>
    <mergeCell ref="K17:N17"/>
    <mergeCell ref="W8:Z8"/>
    <mergeCell ref="AI18:AL18"/>
    <mergeCell ref="W17:Z17"/>
    <mergeCell ref="AM25:AP25"/>
    <mergeCell ref="G25:J25"/>
    <mergeCell ref="G8:K8"/>
    <mergeCell ref="K19:N19"/>
    <mergeCell ref="C13:F13"/>
    <mergeCell ref="O23:R23"/>
    <mergeCell ref="S6:U6"/>
    <mergeCell ref="AI14:AL14"/>
    <mergeCell ref="AA14:AD14"/>
    <mergeCell ref="W13:Z13"/>
    <mergeCell ref="AI23:AL23"/>
    <mergeCell ref="O13:R13"/>
    <mergeCell ref="V10:Z10"/>
    <mergeCell ref="AI13:AL13"/>
    <mergeCell ref="C6:F6"/>
    <mergeCell ref="C15:F15"/>
    <mergeCell ref="S21:V21"/>
    <mergeCell ref="C18:F18"/>
    <mergeCell ref="C11:E11"/>
    <mergeCell ref="X16:Y16"/>
    <mergeCell ref="W19:Z19"/>
    <mergeCell ref="N10:O10"/>
    <mergeCell ref="K18:N18"/>
    <mergeCell ref="AI17:AL17"/>
    <mergeCell ref="D16:E16"/>
    <mergeCell ref="AI22:AL22"/>
    <mergeCell ref="K14:N14"/>
    <mergeCell ref="G12:J12"/>
    <mergeCell ref="O20:R20"/>
    <mergeCell ref="S14:V14"/>
    <mergeCell ref="C22:F22"/>
    <mergeCell ref="AE14:AH14"/>
    <mergeCell ref="O22:R22"/>
    <mergeCell ref="C21:F21"/>
    <mergeCell ref="G15:J15"/>
    <mergeCell ref="W21:Z21"/>
    <mergeCell ref="S15:V15"/>
    <mergeCell ref="AE30:AH30"/>
    <mergeCell ref="AI21:AL21"/>
    <mergeCell ref="S29:V29"/>
    <mergeCell ref="L8:Q8"/>
    <mergeCell ref="AM15:AP15"/>
    <mergeCell ref="W29:Z29"/>
    <mergeCell ref="O14:R14"/>
    <mergeCell ref="W23:Z23"/>
    <mergeCell ref="AM26:AP26"/>
    <mergeCell ref="AA29:AD29"/>
    <mergeCell ref="K24:N24"/>
    <mergeCell ref="K28:N28"/>
    <mergeCell ref="AE27:AH27"/>
    <mergeCell ref="AM18:AP18"/>
    <mergeCell ref="AM30:AP30"/>
    <mergeCell ref="AM21:AP21"/>
    <mergeCell ref="S26:V26"/>
    <mergeCell ref="AM27:AP27"/>
    <mergeCell ref="AE26:AH26"/>
    <mergeCell ref="AM20:AP20"/>
    <mergeCell ref="AM22:AP22"/>
    <mergeCell ref="AM19:AP19"/>
    <mergeCell ref="S28:V28"/>
    <mergeCell ref="AE29:AH29"/>
  </mergeCells>
  <printOptions horizontalCentered="1"/>
  <pageMargins left="0.25" right="0.25" top="0.25" bottom="0.25" header="0.511811023622047" footer="0.511811023622047"/>
  <pageSetup orientation="landscape" horizontalDpi="300" verticalDpi="300"/>
  <rowBreaks count="2" manualBreakCount="2">
    <brk id="7" max="16383" man="1"/>
    <brk id="44" max="16383" man="1"/>
  </rowBreaks>
  <colBreaks count="1" manualBreakCount="1">
    <brk id="26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BK474"/>
  <sheetViews>
    <sheetView showGridLines="0" zoomScaleNormal="100" workbookViewId="0">
      <selection activeCell="L10" sqref="L10"/>
    </sheetView>
  </sheetViews>
  <sheetFormatPr defaultColWidth="9" defaultRowHeight="13.2" x14ac:dyDescent="0.25"/>
  <cols>
    <col min="1" max="1" width="3.6640625" customWidth="1"/>
    <col min="2" max="2" width="16.44140625" customWidth="1"/>
    <col min="3" max="3" width="5.6640625" customWidth="1"/>
    <col min="4" max="4" width="4.88671875" customWidth="1"/>
    <col min="5" max="5" width="4.5546875" customWidth="1"/>
    <col min="6" max="6" width="9" customWidth="1"/>
    <col min="7" max="7" width="5.6640625" customWidth="1"/>
    <col min="8" max="8" width="6.44140625" customWidth="1"/>
    <col min="9" max="26" width="5.6640625" customWidth="1"/>
    <col min="27" max="34" width="5.88671875" customWidth="1"/>
    <col min="35" max="38" width="5.5546875" customWidth="1"/>
    <col min="39" max="42" width="5.6640625" customWidth="1"/>
    <col min="62" max="63" width="15.109375" customWidth="1"/>
  </cols>
  <sheetData>
    <row r="1" spans="2:63" ht="12.75" customHeight="1" x14ac:dyDescent="0.25"/>
    <row r="2" spans="2:63" ht="12.75" customHeight="1" x14ac:dyDescent="0.25"/>
    <row r="3" spans="2:63" ht="12.75" customHeight="1" x14ac:dyDescent="0.25"/>
    <row r="4" spans="2:63" ht="24" customHeight="1" x14ac:dyDescent="0.4">
      <c r="B4" s="162" t="s">
        <v>0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BC4" s="1"/>
    </row>
    <row r="5" spans="2:63" ht="20.25" customHeight="1" x14ac:dyDescent="0.25"/>
    <row r="6" spans="2:63" ht="21" customHeight="1" x14ac:dyDescent="0.25">
      <c r="B6" s="2"/>
      <c r="C6" s="127"/>
      <c r="D6" s="84"/>
      <c r="E6" s="84"/>
      <c r="F6" s="84"/>
      <c r="G6" s="3"/>
      <c r="H6" s="111"/>
      <c r="I6" s="84"/>
      <c r="J6" s="84"/>
      <c r="K6" s="4"/>
      <c r="L6" s="120" t="s">
        <v>1</v>
      </c>
      <c r="M6" s="82"/>
      <c r="N6" s="82"/>
      <c r="O6" s="131"/>
      <c r="P6" s="130"/>
      <c r="Q6" s="130"/>
      <c r="R6" s="130"/>
      <c r="S6" s="120" t="s">
        <v>2</v>
      </c>
      <c r="T6" s="82"/>
      <c r="U6" s="82"/>
      <c r="V6" s="143"/>
      <c r="W6" s="144"/>
      <c r="X6" s="144"/>
      <c r="Y6" s="144"/>
    </row>
    <row r="7" spans="2:63" ht="13.5" customHeight="1" x14ac:dyDescent="0.25">
      <c r="BH7" s="1"/>
      <c r="BI7" s="1"/>
      <c r="BJ7" s="1"/>
      <c r="BK7" s="1" t="s">
        <v>3</v>
      </c>
    </row>
    <row r="8" spans="2:63" ht="13.5" customHeight="1" x14ac:dyDescent="0.25">
      <c r="B8" s="116" t="s">
        <v>4</v>
      </c>
      <c r="C8" s="88"/>
      <c r="D8" s="88"/>
      <c r="E8" s="88"/>
      <c r="F8" s="89"/>
      <c r="G8" s="116" t="s">
        <v>5</v>
      </c>
      <c r="H8" s="88"/>
      <c r="I8" s="88"/>
      <c r="J8" s="88"/>
      <c r="K8" s="89"/>
      <c r="L8" s="87" t="s">
        <v>6</v>
      </c>
      <c r="M8" s="88"/>
      <c r="N8" s="88"/>
      <c r="O8" s="88"/>
      <c r="P8" s="88"/>
      <c r="Q8" s="89"/>
      <c r="R8" s="116" t="s">
        <v>7</v>
      </c>
      <c r="S8" s="88"/>
      <c r="T8" s="88"/>
      <c r="U8" s="88"/>
      <c r="V8" s="89"/>
      <c r="W8" s="114" t="s">
        <v>8</v>
      </c>
      <c r="X8" s="88"/>
      <c r="Y8" s="88"/>
      <c r="Z8" s="89"/>
      <c r="BG8" s="1"/>
      <c r="BH8" s="1"/>
      <c r="BI8" s="1"/>
      <c r="BJ8" s="1" t="s">
        <v>9</v>
      </c>
      <c r="BK8" s="1" t="s">
        <v>10</v>
      </c>
    </row>
    <row r="9" spans="2:63" ht="21" customHeight="1" x14ac:dyDescent="0.25">
      <c r="B9" s="146"/>
      <c r="C9" s="130"/>
      <c r="D9" s="130"/>
      <c r="E9" s="130"/>
      <c r="F9" s="136"/>
      <c r="G9" s="146"/>
      <c r="H9" s="130"/>
      <c r="I9" s="130"/>
      <c r="J9" s="130"/>
      <c r="K9" s="136"/>
      <c r="L9" s="146"/>
      <c r="M9" s="130"/>
      <c r="N9" s="130"/>
      <c r="O9" s="130"/>
      <c r="P9" s="130"/>
      <c r="Q9" s="136"/>
      <c r="R9" s="135"/>
      <c r="S9" s="130"/>
      <c r="T9" s="130"/>
      <c r="U9" s="130"/>
      <c r="V9" s="136"/>
      <c r="W9" s="137"/>
      <c r="X9" s="130"/>
      <c r="Y9" s="130"/>
      <c r="Z9" s="136"/>
      <c r="BJ9" s="1">
        <v>-20</v>
      </c>
      <c r="BK9" s="1">
        <v>0.99900999999999995</v>
      </c>
    </row>
    <row r="10" spans="2:63" ht="21" customHeight="1" x14ac:dyDescent="0.25">
      <c r="B10" s="5" t="s">
        <v>11</v>
      </c>
      <c r="C10" s="112"/>
      <c r="D10" s="86"/>
      <c r="E10" s="91"/>
      <c r="F10" s="5" t="s">
        <v>12</v>
      </c>
      <c r="G10" s="161"/>
      <c r="H10" s="99"/>
      <c r="I10" s="99"/>
      <c r="J10" s="100"/>
      <c r="K10" s="5" t="s">
        <v>13</v>
      </c>
      <c r="L10" s="112"/>
      <c r="M10" s="91"/>
      <c r="N10" s="110"/>
      <c r="O10" s="99"/>
      <c r="P10" s="112"/>
      <c r="Q10" s="86"/>
      <c r="R10" s="86"/>
      <c r="S10" s="91"/>
      <c r="T10" s="110" t="s">
        <v>14</v>
      </c>
      <c r="U10" s="99"/>
      <c r="V10" s="112"/>
      <c r="W10" s="86"/>
      <c r="X10" s="86"/>
      <c r="Y10" s="86"/>
      <c r="Z10" s="91"/>
      <c r="BJ10" s="1">
        <v>-19</v>
      </c>
      <c r="BK10" s="1">
        <v>0.99902000000000002</v>
      </c>
    </row>
    <row r="11" spans="2:63" ht="13.5" customHeight="1" x14ac:dyDescent="0.25">
      <c r="B11" s="6" t="s">
        <v>15</v>
      </c>
      <c r="C11" s="106"/>
      <c r="D11" s="107"/>
      <c r="E11" s="108"/>
      <c r="F11" s="6" t="s">
        <v>16</v>
      </c>
      <c r="G11" s="106"/>
      <c r="H11" s="107"/>
      <c r="I11" s="107"/>
      <c r="J11" s="108"/>
      <c r="K11" s="6" t="s">
        <v>17</v>
      </c>
      <c r="L11" s="7"/>
      <c r="M11" s="139"/>
      <c r="N11" s="88"/>
      <c r="O11" s="88"/>
      <c r="P11" s="88"/>
      <c r="Q11" s="89"/>
      <c r="R11" s="6" t="s">
        <v>18</v>
      </c>
      <c r="S11" s="8"/>
      <c r="T11" s="8"/>
      <c r="U11" s="7"/>
      <c r="V11" s="7"/>
      <c r="W11" s="6" t="s">
        <v>19</v>
      </c>
      <c r="X11" s="7"/>
      <c r="Y11" s="9"/>
      <c r="Z11" s="10"/>
      <c r="BJ11" s="1">
        <v>-18</v>
      </c>
      <c r="BK11" s="1">
        <v>0.99902999999999997</v>
      </c>
    </row>
    <row r="12" spans="2:63" ht="21" customHeight="1" x14ac:dyDescent="0.25">
      <c r="B12" s="11" t="s">
        <v>20</v>
      </c>
      <c r="C12" s="132"/>
      <c r="D12" s="133"/>
      <c r="E12" s="134"/>
      <c r="F12" s="12" t="s">
        <v>21</v>
      </c>
      <c r="G12" s="132"/>
      <c r="H12" s="133"/>
      <c r="I12" s="133"/>
      <c r="J12" s="134"/>
      <c r="K12" s="12" t="s">
        <v>20</v>
      </c>
      <c r="L12" s="13"/>
      <c r="M12" s="132"/>
      <c r="N12" s="133"/>
      <c r="O12" s="133"/>
      <c r="P12" s="133"/>
      <c r="Q12" s="134"/>
      <c r="R12" s="14"/>
      <c r="S12" s="15"/>
      <c r="T12" s="15">
        <v>1459</v>
      </c>
      <c r="U12" s="16"/>
      <c r="V12" s="16"/>
      <c r="W12" s="170"/>
      <c r="X12" s="133"/>
      <c r="Y12" s="133"/>
      <c r="Z12" s="134"/>
      <c r="BJ12" s="1">
        <v>-17</v>
      </c>
      <c r="BK12" s="1">
        <v>0.99904999999999999</v>
      </c>
    </row>
    <row r="13" spans="2:63" ht="15" customHeight="1" x14ac:dyDescent="0.25">
      <c r="B13" s="17" t="s">
        <v>22</v>
      </c>
      <c r="C13" s="117"/>
      <c r="D13" s="118"/>
      <c r="E13" s="118"/>
      <c r="F13" s="119"/>
      <c r="G13" s="117"/>
      <c r="H13" s="118"/>
      <c r="I13" s="118"/>
      <c r="J13" s="119"/>
      <c r="K13" s="117"/>
      <c r="L13" s="118"/>
      <c r="M13" s="118"/>
      <c r="N13" s="119"/>
      <c r="O13" s="123"/>
      <c r="P13" s="124"/>
      <c r="Q13" s="124"/>
      <c r="R13" s="125"/>
      <c r="S13" s="171"/>
      <c r="T13" s="118"/>
      <c r="U13" s="118"/>
      <c r="V13" s="118"/>
      <c r="W13" s="121"/>
      <c r="X13" s="118"/>
      <c r="Y13" s="118"/>
      <c r="Z13" s="122"/>
      <c r="AA13" s="126"/>
      <c r="AB13" s="82"/>
      <c r="AC13" s="82"/>
      <c r="AD13" s="82"/>
      <c r="AE13" s="126"/>
      <c r="AF13" s="82"/>
      <c r="AG13" s="82"/>
      <c r="AH13" s="82"/>
      <c r="AI13" s="126"/>
      <c r="AJ13" s="82"/>
      <c r="AK13" s="82"/>
      <c r="AL13" s="82"/>
      <c r="AM13" s="126"/>
      <c r="AN13" s="82"/>
      <c r="AO13" s="82"/>
      <c r="AP13" s="82"/>
      <c r="BJ13" s="1">
        <v>-16</v>
      </c>
      <c r="BK13" s="1">
        <v>0.99905999999999995</v>
      </c>
    </row>
    <row r="14" spans="2:63" ht="21.75" customHeight="1" x14ac:dyDescent="0.25">
      <c r="B14" s="18" t="s">
        <v>23</v>
      </c>
      <c r="C14" s="92"/>
      <c r="D14" s="93"/>
      <c r="E14" s="93"/>
      <c r="F14" s="94"/>
      <c r="G14" s="92"/>
      <c r="H14" s="93"/>
      <c r="I14" s="93"/>
      <c r="J14" s="94"/>
      <c r="K14" s="92"/>
      <c r="L14" s="93"/>
      <c r="M14" s="93"/>
      <c r="N14" s="94"/>
      <c r="O14" s="92"/>
      <c r="P14" s="93"/>
      <c r="Q14" s="93"/>
      <c r="R14" s="94"/>
      <c r="S14" s="166"/>
      <c r="T14" s="93"/>
      <c r="U14" s="93"/>
      <c r="V14" s="93"/>
      <c r="W14" s="157"/>
      <c r="X14" s="93"/>
      <c r="Y14" s="93"/>
      <c r="Z14" s="158"/>
      <c r="AA14" s="83"/>
      <c r="AB14" s="84"/>
      <c r="AC14" s="84"/>
      <c r="AD14" s="84"/>
      <c r="AE14" s="83"/>
      <c r="AF14" s="84"/>
      <c r="AG14" s="84"/>
      <c r="AH14" s="84"/>
      <c r="AI14" s="83"/>
      <c r="AJ14" s="84"/>
      <c r="AK14" s="84"/>
      <c r="AL14" s="84"/>
      <c r="AM14" s="83"/>
      <c r="AN14" s="84"/>
      <c r="AO14" s="84"/>
      <c r="AP14" s="84"/>
      <c r="BJ14" s="1">
        <v>-15</v>
      </c>
      <c r="BK14" s="1">
        <v>0.99907000000000001</v>
      </c>
    </row>
    <row r="15" spans="2:63" ht="21.75" customHeight="1" x14ac:dyDescent="0.25">
      <c r="B15" s="19" t="s">
        <v>24</v>
      </c>
      <c r="C15" s="128"/>
      <c r="D15" s="86"/>
      <c r="E15" s="86"/>
      <c r="F15" s="91"/>
      <c r="G15" s="128"/>
      <c r="H15" s="86"/>
      <c r="I15" s="86"/>
      <c r="J15" s="91"/>
      <c r="K15" s="128"/>
      <c r="L15" s="86"/>
      <c r="M15" s="86"/>
      <c r="N15" s="91"/>
      <c r="O15" s="128"/>
      <c r="P15" s="86"/>
      <c r="Q15" s="86"/>
      <c r="R15" s="91"/>
      <c r="S15" s="167"/>
      <c r="T15" s="86"/>
      <c r="U15" s="86"/>
      <c r="V15" s="86"/>
      <c r="W15" s="128"/>
      <c r="X15" s="86"/>
      <c r="Y15" s="86"/>
      <c r="Z15" s="91"/>
      <c r="AA15" s="83"/>
      <c r="AB15" s="84"/>
      <c r="AC15" s="84"/>
      <c r="AD15" s="84"/>
      <c r="AE15" s="83"/>
      <c r="AF15" s="84"/>
      <c r="AG15" s="84"/>
      <c r="AH15" s="84"/>
      <c r="AI15" s="83"/>
      <c r="AJ15" s="84"/>
      <c r="AK15" s="84"/>
      <c r="AL15" s="84"/>
      <c r="AM15" s="83"/>
      <c r="AN15" s="84"/>
      <c r="AO15" s="84"/>
      <c r="AP15" s="84"/>
      <c r="BJ15" s="1">
        <v>-14</v>
      </c>
      <c r="BK15" s="1">
        <v>0.99907999999999997</v>
      </c>
    </row>
    <row r="16" spans="2:63" ht="23.25" customHeight="1" x14ac:dyDescent="0.25">
      <c r="B16" s="20" t="s">
        <v>25</v>
      </c>
      <c r="C16" s="21"/>
      <c r="D16" s="109"/>
      <c r="E16" s="91"/>
      <c r="F16" s="21"/>
      <c r="G16" s="21"/>
      <c r="H16" s="109"/>
      <c r="I16" s="91"/>
      <c r="J16" s="21"/>
      <c r="K16" s="21"/>
      <c r="L16" s="109"/>
      <c r="M16" s="91"/>
      <c r="N16" s="21"/>
      <c r="O16" s="21"/>
      <c r="P16" s="109"/>
      <c r="Q16" s="91"/>
      <c r="R16" s="21"/>
      <c r="S16" s="21"/>
      <c r="T16" s="109"/>
      <c r="U16" s="91"/>
      <c r="V16" s="22"/>
      <c r="W16" s="21"/>
      <c r="X16" s="109"/>
      <c r="Y16" s="91"/>
      <c r="Z16" s="21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BJ16" s="1">
        <v>-13</v>
      </c>
      <c r="BK16" s="1">
        <v>0.99909999999999999</v>
      </c>
    </row>
    <row r="17" spans="2:63" ht="23.25" customHeight="1" x14ac:dyDescent="0.25">
      <c r="B17" s="24" t="s">
        <v>26</v>
      </c>
      <c r="C17" s="113">
        <f>IF(C16&gt;0,AVERAGE(C16:F16),0)</f>
        <v>0</v>
      </c>
      <c r="D17" s="99"/>
      <c r="E17" s="99"/>
      <c r="F17" s="100"/>
      <c r="G17" s="113">
        <f>IF(G16&gt;0,AVERAGE(G16:J16),0)</f>
        <v>0</v>
      </c>
      <c r="H17" s="99"/>
      <c r="I17" s="99"/>
      <c r="J17" s="100"/>
      <c r="K17" s="113">
        <f>IF(K16&gt;0,AVERAGE(K16:N16),0)</f>
        <v>0</v>
      </c>
      <c r="L17" s="99"/>
      <c r="M17" s="99"/>
      <c r="N17" s="100"/>
      <c r="O17" s="113">
        <f>IF(O16&gt;0,AVERAGE(O16:R16),0)</f>
        <v>0</v>
      </c>
      <c r="P17" s="99"/>
      <c r="Q17" s="99"/>
      <c r="R17" s="100"/>
      <c r="S17" s="169">
        <f>IF(S16&gt;0,AVERAGE(S16:V16),0)</f>
        <v>0</v>
      </c>
      <c r="T17" s="99"/>
      <c r="U17" s="99"/>
      <c r="V17" s="99"/>
      <c r="W17" s="113">
        <f>IF(W16&gt;0,AVERAGE(W16:Z16),0)</f>
        <v>0</v>
      </c>
      <c r="X17" s="99"/>
      <c r="Y17" s="99"/>
      <c r="Z17" s="100"/>
      <c r="AA17" s="81"/>
      <c r="AB17" s="82"/>
      <c r="AC17" s="82"/>
      <c r="AD17" s="82"/>
      <c r="AE17" s="81"/>
      <c r="AF17" s="82"/>
      <c r="AG17" s="82"/>
      <c r="AH17" s="82"/>
      <c r="AI17" s="81"/>
      <c r="AJ17" s="82"/>
      <c r="AK17" s="82"/>
      <c r="AL17" s="82"/>
      <c r="AM17" s="81"/>
      <c r="AN17" s="82"/>
      <c r="AO17" s="82"/>
      <c r="AP17" s="82"/>
      <c r="BJ17" s="1">
        <v>-12</v>
      </c>
      <c r="BK17" s="1">
        <v>0.99911000000000005</v>
      </c>
    </row>
    <row r="18" spans="2:63" ht="23.25" customHeight="1" x14ac:dyDescent="0.25">
      <c r="B18" s="25" t="s">
        <v>27</v>
      </c>
      <c r="C18" s="105">
        <f>VLOOKUP(ROUND(C17,0),Shelltable,2,FALSE())</f>
        <v>0.99926000000000004</v>
      </c>
      <c r="D18" s="99"/>
      <c r="E18" s="99"/>
      <c r="F18" s="100"/>
      <c r="G18" s="105">
        <f>VLOOKUP(ROUND(G17,0),Shelltable,2,FALSE())</f>
        <v>0.99926000000000004</v>
      </c>
      <c r="H18" s="99"/>
      <c r="I18" s="99"/>
      <c r="J18" s="100"/>
      <c r="K18" s="105">
        <f>VLOOKUP(ROUND(K17,0),Shelltable,2,FALSE())</f>
        <v>0.99926000000000004</v>
      </c>
      <c r="L18" s="99"/>
      <c r="M18" s="99"/>
      <c r="N18" s="100"/>
      <c r="O18" s="105">
        <f>VLOOKUP(ROUND(O17,0),Shelltable,2,FALSE())</f>
        <v>0.99926000000000004</v>
      </c>
      <c r="P18" s="99"/>
      <c r="Q18" s="99"/>
      <c r="R18" s="100"/>
      <c r="S18" s="105">
        <f>VLOOKUP(ROUND(S17,0),Shelltable,2,FALSE())</f>
        <v>0.99926000000000004</v>
      </c>
      <c r="T18" s="99"/>
      <c r="U18" s="99"/>
      <c r="V18" s="100"/>
      <c r="W18" s="105">
        <f>VLOOKUP(ROUND(W17,0),Shelltable,2,FALSE())</f>
        <v>0.99926000000000004</v>
      </c>
      <c r="X18" s="99"/>
      <c r="Y18" s="99"/>
      <c r="Z18" s="100"/>
      <c r="AA18" s="103"/>
      <c r="AB18" s="82"/>
      <c r="AC18" s="82"/>
      <c r="AD18" s="82"/>
      <c r="AE18" s="103"/>
      <c r="AF18" s="82"/>
      <c r="AG18" s="82"/>
      <c r="AH18" s="82"/>
      <c r="AI18" s="103"/>
      <c r="AJ18" s="82"/>
      <c r="AK18" s="82"/>
      <c r="AL18" s="82"/>
      <c r="AM18" s="103"/>
      <c r="AN18" s="82"/>
      <c r="AO18" s="82"/>
      <c r="AP18" s="82"/>
      <c r="BJ18" s="1">
        <v>-11</v>
      </c>
      <c r="BK18" s="1">
        <v>0.99912000000000001</v>
      </c>
    </row>
    <row r="19" spans="2:63" ht="23.25" customHeight="1" x14ac:dyDescent="0.25">
      <c r="B19" s="26" t="s">
        <v>28</v>
      </c>
      <c r="C19" s="95">
        <f>IF(C17=0,0,IF(C17=60,1,EXP(-(594.5418/((141.5/($W$9+131.5)*999.016)^2))*((C17-60)/1.8)*(1+0.8*(594.5418/((141.5/($W$9+131.5)*999.016)^2))*((C17-60)/1.8)))))</f>
        <v>0</v>
      </c>
      <c r="D19" s="86"/>
      <c r="E19" s="86"/>
      <c r="F19" s="91"/>
      <c r="G19" s="95">
        <f>IF(G17=0,0,IF(G17=60,1,EXP(-(594.5418/((141.5/($W$9+131.5)*999.016)^2))*((G17-60)/1.8)*(1+0.8*(594.5418/((141.5/($W$9+131.5)*999.016)^2))*((G17-60)/1.8)))))</f>
        <v>0</v>
      </c>
      <c r="H19" s="86"/>
      <c r="I19" s="86"/>
      <c r="J19" s="91"/>
      <c r="K19" s="95">
        <f>IF(K17=0,0,IF(K17=60,1,EXP(-(594.5418/((141.5/($W$9+131.5)*999.016)^2))*((K17-60)/1.8)*(1+0.8*(594.5418/((141.5/($W$9+131.5)*999.016)^2))*((K17-60)/1.8)))))</f>
        <v>0</v>
      </c>
      <c r="L19" s="86"/>
      <c r="M19" s="86"/>
      <c r="N19" s="91"/>
      <c r="O19" s="95">
        <f>IF(O17=0,0,IF(O17=60,1,EXP(-(594.5418/((141.5/($W$9+131.5)*999.016)^2))*((O17-60)/1.8)*(1+0.8*(594.5418/((141.5/($W$9+131.5)*999.016)^2))*((O17-60)/1.8)))))</f>
        <v>0</v>
      </c>
      <c r="P19" s="86"/>
      <c r="Q19" s="86"/>
      <c r="R19" s="91"/>
      <c r="S19" s="145">
        <f>IF(S17=0,0,IF(S17=60,1,EXP(-(594.5418/((141.5/($W$9+131.5)*999.016)^2))*((S17-60)/1.8)*(1+0.8*(594.5418/((141.5/($W$9+131.5)*999.016)^2))*((S17-60)/1.8)))))</f>
        <v>0</v>
      </c>
      <c r="T19" s="86"/>
      <c r="U19" s="86"/>
      <c r="V19" s="86"/>
      <c r="W19" s="95">
        <f>IF(W17=0,0,IF(W17=60,1,EXP(-(594.5418/((141.5/($W$9+131.5)*999.016)^2))*((W17-60)/1.8)*(1+0.8*(594.5418/((141.5/($W$9+131.5)*999.016)^2))*((W17-60)/1.8)))))</f>
        <v>0</v>
      </c>
      <c r="X19" s="86"/>
      <c r="Y19" s="86"/>
      <c r="Z19" s="91"/>
      <c r="AA19" s="83"/>
      <c r="AB19" s="84"/>
      <c r="AC19" s="84"/>
      <c r="AD19" s="84"/>
      <c r="AE19" s="83"/>
      <c r="AF19" s="84"/>
      <c r="AG19" s="84"/>
      <c r="AH19" s="84"/>
      <c r="AI19" s="83"/>
      <c r="AJ19" s="84"/>
      <c r="AK19" s="84"/>
      <c r="AL19" s="84"/>
      <c r="AM19" s="83"/>
      <c r="AN19" s="84"/>
      <c r="AO19" s="84"/>
      <c r="AP19" s="84"/>
      <c r="BJ19" s="1">
        <v>-10</v>
      </c>
      <c r="BK19" s="1">
        <v>0.99912999999999996</v>
      </c>
    </row>
    <row r="20" spans="2:63" ht="23.25" customHeight="1" x14ac:dyDescent="0.25">
      <c r="B20" s="27" t="s">
        <v>29</v>
      </c>
      <c r="C20" s="152">
        <f>C15*C18*C19</f>
        <v>0</v>
      </c>
      <c r="D20" s="153"/>
      <c r="E20" s="153"/>
      <c r="F20" s="154"/>
      <c r="G20" s="152">
        <f>G15*G18*G19</f>
        <v>0</v>
      </c>
      <c r="H20" s="153"/>
      <c r="I20" s="153"/>
      <c r="J20" s="154"/>
      <c r="K20" s="152">
        <f>K15*K18*K19</f>
        <v>0</v>
      </c>
      <c r="L20" s="153"/>
      <c r="M20" s="153"/>
      <c r="N20" s="154"/>
      <c r="O20" s="152">
        <f>O15*O18*O19</f>
        <v>0</v>
      </c>
      <c r="P20" s="153"/>
      <c r="Q20" s="153"/>
      <c r="R20" s="154"/>
      <c r="S20" s="156">
        <f>S15*S18*S19</f>
        <v>0</v>
      </c>
      <c r="T20" s="153"/>
      <c r="U20" s="153"/>
      <c r="V20" s="153"/>
      <c r="W20" s="152">
        <f>W15*W18*W19</f>
        <v>0</v>
      </c>
      <c r="X20" s="153"/>
      <c r="Y20" s="153"/>
      <c r="Z20" s="154"/>
      <c r="AA20" s="102"/>
      <c r="AB20" s="82"/>
      <c r="AC20" s="82"/>
      <c r="AD20" s="82"/>
      <c r="AE20" s="102"/>
      <c r="AF20" s="82"/>
      <c r="AG20" s="82"/>
      <c r="AH20" s="82"/>
      <c r="AI20" s="102"/>
      <c r="AJ20" s="82"/>
      <c r="AK20" s="82"/>
      <c r="AL20" s="82"/>
      <c r="AM20" s="102"/>
      <c r="AN20" s="82"/>
      <c r="AO20" s="82"/>
      <c r="AP20" s="82"/>
      <c r="BJ20" s="1">
        <v>-9</v>
      </c>
      <c r="BK20" s="1">
        <v>0.99914000000000003</v>
      </c>
    </row>
    <row r="21" spans="2:63" ht="21.75" customHeight="1" x14ac:dyDescent="0.25">
      <c r="B21" s="28" t="s">
        <v>30</v>
      </c>
      <c r="C21" s="159"/>
      <c r="D21" s="130"/>
      <c r="E21" s="130"/>
      <c r="F21" s="136"/>
      <c r="G21" s="159"/>
      <c r="H21" s="130"/>
      <c r="I21" s="130"/>
      <c r="J21" s="136"/>
      <c r="K21" s="159"/>
      <c r="L21" s="130"/>
      <c r="M21" s="130"/>
      <c r="N21" s="136"/>
      <c r="O21" s="159"/>
      <c r="P21" s="130"/>
      <c r="Q21" s="130"/>
      <c r="R21" s="136"/>
      <c r="S21" s="129"/>
      <c r="T21" s="130"/>
      <c r="U21" s="130"/>
      <c r="V21" s="130"/>
      <c r="W21" s="159"/>
      <c r="X21" s="130"/>
      <c r="Y21" s="130"/>
      <c r="Z21" s="136"/>
      <c r="AA21" s="83"/>
      <c r="AB21" s="84"/>
      <c r="AC21" s="84"/>
      <c r="AD21" s="84"/>
      <c r="AE21" s="83"/>
      <c r="AF21" s="84"/>
      <c r="AG21" s="84"/>
      <c r="AH21" s="84"/>
      <c r="AI21" s="83"/>
      <c r="AJ21" s="84"/>
      <c r="AK21" s="84"/>
      <c r="AL21" s="84"/>
      <c r="AM21" s="83"/>
      <c r="AN21" s="84"/>
      <c r="AO21" s="84"/>
      <c r="AP21" s="84"/>
      <c r="BJ21" s="1">
        <v>-8</v>
      </c>
      <c r="BK21" s="1">
        <v>0.99916000000000005</v>
      </c>
    </row>
    <row r="22" spans="2:63" ht="21.75" customHeight="1" x14ac:dyDescent="0.25">
      <c r="B22" s="29" t="s">
        <v>31</v>
      </c>
      <c r="C22" s="109"/>
      <c r="D22" s="86"/>
      <c r="E22" s="86"/>
      <c r="F22" s="91"/>
      <c r="G22" s="109"/>
      <c r="H22" s="86"/>
      <c r="I22" s="86"/>
      <c r="J22" s="91"/>
      <c r="K22" s="109"/>
      <c r="L22" s="86"/>
      <c r="M22" s="86"/>
      <c r="N22" s="91"/>
      <c r="O22" s="109"/>
      <c r="P22" s="86"/>
      <c r="Q22" s="86"/>
      <c r="R22" s="91"/>
      <c r="S22" s="109"/>
      <c r="T22" s="86"/>
      <c r="U22" s="86"/>
      <c r="V22" s="91"/>
      <c r="W22" s="109"/>
      <c r="X22" s="86"/>
      <c r="Y22" s="86"/>
      <c r="Z22" s="91"/>
      <c r="AA22" s="138"/>
      <c r="AB22" s="84"/>
      <c r="AC22" s="84"/>
      <c r="AD22" s="84"/>
      <c r="AE22" s="83"/>
      <c r="AF22" s="84"/>
      <c r="AG22" s="84"/>
      <c r="AH22" s="84"/>
      <c r="AI22" s="83"/>
      <c r="AJ22" s="84"/>
      <c r="AK22" s="84"/>
      <c r="AL22" s="84"/>
      <c r="AM22" s="83"/>
      <c r="AN22" s="84"/>
      <c r="AO22" s="84"/>
      <c r="AP22" s="84"/>
      <c r="BJ22" s="1">
        <v>-7</v>
      </c>
      <c r="BK22" s="1">
        <v>0.99917</v>
      </c>
    </row>
    <row r="23" spans="2:63" ht="21.75" customHeight="1" x14ac:dyDescent="0.25">
      <c r="B23" s="26" t="s">
        <v>32</v>
      </c>
      <c r="C23" s="95">
        <f>IF(C22=0,0,IF(C22=60,1,EXP(-(594.5418/((141.5/($W$9+131.5)*999.016)^2))*((C22-60)/1.8)*(1+0.8*(594.5418/((141.5/($W$9+131.5)*999.016)^2))*((C22-60)/1.8)))))</f>
        <v>0</v>
      </c>
      <c r="D23" s="86"/>
      <c r="E23" s="86"/>
      <c r="F23" s="91"/>
      <c r="G23" s="95">
        <f>IF(G22=0,0,IF(G22=60,1,EXP(-(594.5418/((141.5/($W$9+131.5)*999.016)^2))*((G22-60)/1.8)*(1+0.8*(594.5418/((141.5/($W$9+131.5)*999.016)^2))*((G22-60)/1.8)))))</f>
        <v>0</v>
      </c>
      <c r="H23" s="86"/>
      <c r="I23" s="86"/>
      <c r="J23" s="91"/>
      <c r="K23" s="95">
        <f>IF(K22=0,0,IF(K22=60,1,EXP(-(594.5418/((141.5/($W$9+131.5)*999.016)^2))*((K22-60)/1.8)*(1+0.8*(594.5418/((141.5/($W$9+131.5)*999.016)^2))*((K22-60)/1.8)))))</f>
        <v>0</v>
      </c>
      <c r="L23" s="86"/>
      <c r="M23" s="86"/>
      <c r="N23" s="91"/>
      <c r="O23" s="95">
        <f>IF(O22=0,0,IF(O22=60,1,EXP(-(594.5418/((141.5/($W$9+131.5)*999.016)^2))*((O22-60)/1.8)*(1+0.8*(594.5418/((141.5/($W$9+131.5)*999.016)^2))*((O22-60)/1.8)))))</f>
        <v>0</v>
      </c>
      <c r="P23" s="86"/>
      <c r="Q23" s="86"/>
      <c r="R23" s="91"/>
      <c r="S23" s="145">
        <f>IF(S22=0,0,IF(S22=60,1,EXP(-(594.5418/((141.5/($W$9+131.5)*999.016)^2))*((S22-60)/1.8)*(1+0.8*(594.5418/((141.5/($W$9+131.5)*999.016)^2))*((S22-60)/1.8)))))</f>
        <v>0</v>
      </c>
      <c r="T23" s="86"/>
      <c r="U23" s="86"/>
      <c r="V23" s="86"/>
      <c r="W23" s="95">
        <f>IF(W22=0,0,IF(W22=60,1,EXP(-(594.5418/((141.5/($W$9+131.5)*999.016)^2))*((W22-60)/1.8)*(1+0.8*(594.5418/((141.5/($W$9+131.5)*999.016)^2))*((W22-60)/1.8)))))</f>
        <v>0</v>
      </c>
      <c r="X23" s="86"/>
      <c r="Y23" s="86"/>
      <c r="Z23" s="91"/>
      <c r="AA23" s="83"/>
      <c r="AB23" s="84"/>
      <c r="AC23" s="84"/>
      <c r="AD23" s="84"/>
      <c r="AE23" s="83"/>
      <c r="AF23" s="84"/>
      <c r="AG23" s="84"/>
      <c r="AH23" s="84"/>
      <c r="AI23" s="83"/>
      <c r="AJ23" s="84"/>
      <c r="AK23" s="84"/>
      <c r="AL23" s="84"/>
      <c r="AM23" s="83"/>
      <c r="AN23" s="84"/>
      <c r="AO23" s="84"/>
      <c r="AP23" s="84"/>
      <c r="BJ23" s="1">
        <v>-6</v>
      </c>
      <c r="BK23" s="1">
        <v>0.99917999999999996</v>
      </c>
    </row>
    <row r="24" spans="2:63" ht="21.75" customHeight="1" x14ac:dyDescent="0.25">
      <c r="B24" s="24" t="s">
        <v>33</v>
      </c>
      <c r="C24" s="98">
        <f>C21*C23</f>
        <v>0</v>
      </c>
      <c r="D24" s="99"/>
      <c r="E24" s="99"/>
      <c r="F24" s="100"/>
      <c r="G24" s="98">
        <f>G21*G23</f>
        <v>0</v>
      </c>
      <c r="H24" s="99"/>
      <c r="I24" s="99"/>
      <c r="J24" s="100"/>
      <c r="K24" s="98">
        <f>K21*K23</f>
        <v>0</v>
      </c>
      <c r="L24" s="99"/>
      <c r="M24" s="99"/>
      <c r="N24" s="100"/>
      <c r="O24" s="98">
        <f>O21*O23</f>
        <v>0</v>
      </c>
      <c r="P24" s="99"/>
      <c r="Q24" s="99"/>
      <c r="R24" s="100"/>
      <c r="S24" s="140">
        <f>S21*S23</f>
        <v>0</v>
      </c>
      <c r="T24" s="99"/>
      <c r="U24" s="99"/>
      <c r="V24" s="99"/>
      <c r="W24" s="98">
        <f>W21*W23</f>
        <v>0</v>
      </c>
      <c r="X24" s="99"/>
      <c r="Y24" s="99"/>
      <c r="Z24" s="100"/>
      <c r="AA24" s="160"/>
      <c r="AB24" s="82"/>
      <c r="AC24" s="82"/>
      <c r="AD24" s="82"/>
      <c r="AE24" s="160"/>
      <c r="AF24" s="82"/>
      <c r="AG24" s="82"/>
      <c r="AH24" s="82"/>
      <c r="AI24" s="160"/>
      <c r="AJ24" s="82"/>
      <c r="AK24" s="82"/>
      <c r="AL24" s="82"/>
      <c r="AM24" s="160"/>
      <c r="AN24" s="82"/>
      <c r="AO24" s="82"/>
      <c r="AP24" s="82"/>
      <c r="BJ24" s="1">
        <v>-5</v>
      </c>
      <c r="BK24" s="1">
        <v>0.99919000000000002</v>
      </c>
    </row>
    <row r="25" spans="2:63" ht="21.75" customHeight="1" x14ac:dyDescent="0.25">
      <c r="B25" s="24" t="s">
        <v>34</v>
      </c>
      <c r="C25" s="115">
        <f>C20-C24</f>
        <v>0</v>
      </c>
      <c r="D25" s="99"/>
      <c r="E25" s="99"/>
      <c r="F25" s="100"/>
      <c r="G25" s="115">
        <f>G20-G24</f>
        <v>0</v>
      </c>
      <c r="H25" s="99"/>
      <c r="I25" s="99"/>
      <c r="J25" s="100"/>
      <c r="K25" s="115">
        <f>K20-K24</f>
        <v>0</v>
      </c>
      <c r="L25" s="99"/>
      <c r="M25" s="99"/>
      <c r="N25" s="100"/>
      <c r="O25" s="115">
        <f>O20-O24</f>
        <v>0</v>
      </c>
      <c r="P25" s="99"/>
      <c r="Q25" s="99"/>
      <c r="R25" s="100"/>
      <c r="S25" s="175">
        <f>S20-S24</f>
        <v>0</v>
      </c>
      <c r="T25" s="99"/>
      <c r="U25" s="99"/>
      <c r="V25" s="99"/>
      <c r="W25" s="115">
        <f>W20-W24</f>
        <v>0</v>
      </c>
      <c r="X25" s="99"/>
      <c r="Y25" s="99"/>
      <c r="Z25" s="100"/>
      <c r="AA25" s="96"/>
      <c r="AB25" s="82"/>
      <c r="AC25" s="82"/>
      <c r="AD25" s="82"/>
      <c r="AE25" s="96"/>
      <c r="AF25" s="82"/>
      <c r="AG25" s="82"/>
      <c r="AH25" s="82"/>
      <c r="AI25" s="96"/>
      <c r="AJ25" s="82"/>
      <c r="AK25" s="82"/>
      <c r="AL25" s="82"/>
      <c r="AM25" s="96"/>
      <c r="AN25" s="82"/>
      <c r="AO25" s="82"/>
      <c r="AP25" s="82"/>
      <c r="BJ25" s="1">
        <v>-4</v>
      </c>
      <c r="BK25" s="1">
        <v>0.99921000000000004</v>
      </c>
    </row>
    <row r="26" spans="2:63" ht="21.75" customHeight="1" x14ac:dyDescent="0.25">
      <c r="B26" s="24" t="s">
        <v>35</v>
      </c>
      <c r="C26" s="101">
        <f>IF(C21&lt;=0,0,(C25/C24*100))</f>
        <v>0</v>
      </c>
      <c r="D26" s="99"/>
      <c r="E26" s="99"/>
      <c r="F26" s="100"/>
      <c r="G26" s="101">
        <f>IF(G21&lt;=0,0,(G25/G24*100))</f>
        <v>0</v>
      </c>
      <c r="H26" s="99"/>
      <c r="I26" s="99"/>
      <c r="J26" s="100"/>
      <c r="K26" s="101">
        <f>IF(K21&lt;=0,0,(K25/K24*100))</f>
        <v>0</v>
      </c>
      <c r="L26" s="99"/>
      <c r="M26" s="99"/>
      <c r="N26" s="100"/>
      <c r="O26" s="101">
        <f>IF(O21&lt;=0,0,(O25/O24*100))</f>
        <v>0</v>
      </c>
      <c r="P26" s="99"/>
      <c r="Q26" s="99"/>
      <c r="R26" s="100"/>
      <c r="S26" s="104">
        <f>IF(S21&lt;=0,0,(S25/S24*100))</f>
        <v>0</v>
      </c>
      <c r="T26" s="99"/>
      <c r="U26" s="99"/>
      <c r="V26" s="99"/>
      <c r="W26" s="101">
        <f>IF(W21&lt;=0,0,(W25/W24*100))</f>
        <v>0</v>
      </c>
      <c r="X26" s="99"/>
      <c r="Y26" s="99"/>
      <c r="Z26" s="100"/>
      <c r="AA26" s="96"/>
      <c r="AB26" s="82"/>
      <c r="AC26" s="82"/>
      <c r="AD26" s="82"/>
      <c r="AE26" s="96"/>
      <c r="AF26" s="82"/>
      <c r="AG26" s="82"/>
      <c r="AH26" s="82"/>
      <c r="AI26" s="96"/>
      <c r="AJ26" s="82"/>
      <c r="AK26" s="82"/>
      <c r="AL26" s="82"/>
      <c r="AM26" s="96"/>
      <c r="AN26" s="82"/>
      <c r="AO26" s="82"/>
      <c r="AP26" s="82"/>
      <c r="BJ26" s="1">
        <v>-3</v>
      </c>
      <c r="BK26" s="1">
        <v>0.99922</v>
      </c>
    </row>
    <row r="27" spans="2:63" ht="21.75" customHeight="1" x14ac:dyDescent="0.25">
      <c r="B27" s="24" t="s">
        <v>36</v>
      </c>
      <c r="C27" s="141">
        <f>C25*231</f>
        <v>0</v>
      </c>
      <c r="D27" s="99"/>
      <c r="E27" s="99"/>
      <c r="F27" s="100"/>
      <c r="G27" s="141">
        <f>G25*231</f>
        <v>0</v>
      </c>
      <c r="H27" s="99"/>
      <c r="I27" s="99"/>
      <c r="J27" s="100"/>
      <c r="K27" s="141">
        <f>K25*231</f>
        <v>0</v>
      </c>
      <c r="L27" s="99"/>
      <c r="M27" s="99"/>
      <c r="N27" s="100"/>
      <c r="O27" s="141">
        <f>O25*231</f>
        <v>0</v>
      </c>
      <c r="P27" s="99"/>
      <c r="Q27" s="99"/>
      <c r="R27" s="100"/>
      <c r="S27" s="168">
        <f>S25*231</f>
        <v>0</v>
      </c>
      <c r="T27" s="99"/>
      <c r="U27" s="99"/>
      <c r="V27" s="99"/>
      <c r="W27" s="141">
        <f>W25*231</f>
        <v>0</v>
      </c>
      <c r="X27" s="99"/>
      <c r="Y27" s="99"/>
      <c r="Z27" s="100"/>
      <c r="AA27" s="102"/>
      <c r="AB27" s="82"/>
      <c r="AC27" s="82"/>
      <c r="AD27" s="82"/>
      <c r="AE27" s="102"/>
      <c r="AF27" s="82"/>
      <c r="AG27" s="82"/>
      <c r="AH27" s="82"/>
      <c r="AI27" s="102"/>
      <c r="AJ27" s="82"/>
      <c r="AK27" s="82"/>
      <c r="AL27" s="82"/>
      <c r="AM27" s="102"/>
      <c r="AN27" s="82"/>
      <c r="AO27" s="82"/>
      <c r="AP27" s="82"/>
      <c r="BJ27" s="1">
        <v>-2</v>
      </c>
      <c r="BK27" s="1">
        <v>0.99922999999999995</v>
      </c>
    </row>
    <row r="28" spans="2:63" ht="21.75" customHeight="1" x14ac:dyDescent="0.25">
      <c r="B28" s="24" t="s">
        <v>37</v>
      </c>
      <c r="C28" s="101">
        <f>IF(C20&gt;0,(C20/C24),0)</f>
        <v>0</v>
      </c>
      <c r="D28" s="99"/>
      <c r="E28" s="99"/>
      <c r="F28" s="100"/>
      <c r="G28" s="101">
        <f>IF(G20&gt;0,(G20/G24),0)</f>
        <v>0</v>
      </c>
      <c r="H28" s="99"/>
      <c r="I28" s="99"/>
      <c r="J28" s="100"/>
      <c r="K28" s="101">
        <f>IF(K20&gt;0,(K20/K24),0)</f>
        <v>0</v>
      </c>
      <c r="L28" s="99"/>
      <c r="M28" s="99"/>
      <c r="N28" s="100"/>
      <c r="O28" s="101">
        <f>IF(O20&gt;0,(O20/O24),0)</f>
        <v>0</v>
      </c>
      <c r="P28" s="99"/>
      <c r="Q28" s="99"/>
      <c r="R28" s="100"/>
      <c r="S28" s="104">
        <f>IF(S20&gt;0,(S20/S24),0)</f>
        <v>0</v>
      </c>
      <c r="T28" s="99"/>
      <c r="U28" s="99"/>
      <c r="V28" s="99"/>
      <c r="W28" s="101">
        <f>IF(W20&gt;0,(W20/W24),0)</f>
        <v>0</v>
      </c>
      <c r="X28" s="99"/>
      <c r="Y28" s="99"/>
      <c r="Z28" s="100"/>
      <c r="AA28" s="96"/>
      <c r="AB28" s="82"/>
      <c r="AC28" s="82"/>
      <c r="AD28" s="82"/>
      <c r="AE28" s="96"/>
      <c r="AF28" s="82"/>
      <c r="AG28" s="82"/>
      <c r="AH28" s="82"/>
      <c r="AI28" s="96"/>
      <c r="AJ28" s="82"/>
      <c r="AK28" s="82"/>
      <c r="AL28" s="82"/>
      <c r="AM28" s="96"/>
      <c r="AN28" s="82"/>
      <c r="AO28" s="82"/>
      <c r="AP28" s="82"/>
      <c r="BJ28" s="1">
        <v>-1</v>
      </c>
      <c r="BK28" s="1">
        <v>0.99924000000000002</v>
      </c>
    </row>
    <row r="29" spans="2:63" ht="21.75" customHeight="1" x14ac:dyDescent="0.25">
      <c r="B29" s="30" t="s">
        <v>38</v>
      </c>
      <c r="C29" s="128"/>
      <c r="D29" s="86"/>
      <c r="E29" s="86"/>
      <c r="F29" s="91"/>
      <c r="G29" s="90"/>
      <c r="H29" s="86"/>
      <c r="I29" s="86"/>
      <c r="J29" s="91"/>
      <c r="K29" s="128"/>
      <c r="L29" s="86"/>
      <c r="M29" s="86"/>
      <c r="N29" s="91"/>
      <c r="O29" s="90"/>
      <c r="P29" s="86"/>
      <c r="Q29" s="86"/>
      <c r="R29" s="91"/>
      <c r="S29" s="85"/>
      <c r="T29" s="86"/>
      <c r="U29" s="86"/>
      <c r="V29" s="86"/>
      <c r="W29" s="90"/>
      <c r="X29" s="86"/>
      <c r="Y29" s="86"/>
      <c r="Z29" s="91"/>
      <c r="AA29" s="97"/>
      <c r="AB29" s="84"/>
      <c r="AC29" s="84"/>
      <c r="AD29" s="84"/>
      <c r="AE29" s="97"/>
      <c r="AF29" s="84"/>
      <c r="AG29" s="84"/>
      <c r="AH29" s="84"/>
      <c r="AI29" s="97"/>
      <c r="AJ29" s="84"/>
      <c r="AK29" s="84"/>
      <c r="AL29" s="84"/>
      <c r="AM29" s="97"/>
      <c r="AN29" s="84"/>
      <c r="AO29" s="84"/>
      <c r="AP29" s="84"/>
      <c r="BJ29" s="1">
        <v>0</v>
      </c>
      <c r="BK29" s="1">
        <v>0.99926000000000004</v>
      </c>
    </row>
    <row r="30" spans="2:63" ht="21.75" customHeight="1" x14ac:dyDescent="0.25">
      <c r="B30" s="24" t="s">
        <v>39</v>
      </c>
      <c r="C30" s="163">
        <f>(C28*C29)</f>
        <v>0</v>
      </c>
      <c r="D30" s="86"/>
      <c r="E30" s="86"/>
      <c r="F30" s="91"/>
      <c r="G30" s="173">
        <f>(G28*G29)</f>
        <v>0</v>
      </c>
      <c r="H30" s="86"/>
      <c r="I30" s="86"/>
      <c r="J30" s="91"/>
      <c r="K30" s="163">
        <f>(K28*K29)</f>
        <v>0</v>
      </c>
      <c r="L30" s="86"/>
      <c r="M30" s="86"/>
      <c r="N30" s="91"/>
      <c r="O30" s="163">
        <f>(O28*O29)</f>
        <v>0</v>
      </c>
      <c r="P30" s="86"/>
      <c r="Q30" s="86"/>
      <c r="R30" s="91"/>
      <c r="S30" s="155">
        <f>(S28*S29)</f>
        <v>0</v>
      </c>
      <c r="T30" s="86"/>
      <c r="U30" s="86"/>
      <c r="V30" s="86"/>
      <c r="W30" s="163">
        <f>(W28*W29)</f>
        <v>0</v>
      </c>
      <c r="X30" s="86"/>
      <c r="Y30" s="86"/>
      <c r="Z30" s="91"/>
      <c r="AA30" s="81"/>
      <c r="AB30" s="82"/>
      <c r="AC30" s="82"/>
      <c r="AD30" s="82"/>
      <c r="AE30" s="81"/>
      <c r="AF30" s="82"/>
      <c r="AG30" s="82"/>
      <c r="AH30" s="82"/>
      <c r="AI30" s="81"/>
      <c r="AJ30" s="82"/>
      <c r="AK30" s="82"/>
      <c r="AL30" s="82"/>
      <c r="AM30" s="81"/>
      <c r="AN30" s="82"/>
      <c r="AO30" s="82"/>
      <c r="AP30" s="82"/>
      <c r="BJ30" s="1">
        <v>1</v>
      </c>
      <c r="BK30" s="1">
        <v>0.99926999999999999</v>
      </c>
    </row>
    <row r="31" spans="2:63" ht="20.25" customHeight="1" x14ac:dyDescent="0.25">
      <c r="B31" s="31" t="s">
        <v>40</v>
      </c>
      <c r="C31" s="164"/>
      <c r="D31" s="107"/>
      <c r="E31" s="165"/>
      <c r="F31" s="86"/>
      <c r="G31" s="164"/>
      <c r="H31" s="107"/>
      <c r="I31" s="107"/>
      <c r="J31" s="174"/>
      <c r="K31" s="86"/>
      <c r="L31" s="86"/>
      <c r="M31" s="32"/>
      <c r="N31" s="32"/>
      <c r="O31" s="33"/>
      <c r="P31" s="33"/>
      <c r="Q31" s="3"/>
      <c r="R31" s="164"/>
      <c r="S31" s="107"/>
      <c r="T31" s="107"/>
      <c r="U31" s="107"/>
      <c r="V31" s="176"/>
      <c r="W31" s="86"/>
      <c r="X31" s="86"/>
      <c r="Y31" s="86"/>
      <c r="Z31" s="23"/>
      <c r="AA31" s="23"/>
      <c r="AB31" s="23"/>
      <c r="AC31" s="23"/>
      <c r="AD31" s="23"/>
      <c r="BJ31" s="1">
        <v>2</v>
      </c>
      <c r="BK31" s="1">
        <v>0.99927999999999995</v>
      </c>
    </row>
    <row r="32" spans="2:63" ht="18.75" customHeight="1" x14ac:dyDescent="0.25">
      <c r="B32" s="31" t="s">
        <v>41</v>
      </c>
      <c r="C32" s="34"/>
      <c r="D32" s="34"/>
      <c r="E32" s="32"/>
      <c r="F32" s="35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"/>
      <c r="AB32" s="3"/>
      <c r="AC32" s="3"/>
      <c r="AD32" s="3"/>
      <c r="BJ32" s="1">
        <v>3</v>
      </c>
      <c r="BK32" s="1">
        <v>0.99929000000000001</v>
      </c>
    </row>
    <row r="33" spans="2:63" ht="18.75" customHeight="1" x14ac:dyDescent="0.25">
      <c r="B33" s="31" t="s">
        <v>42</v>
      </c>
      <c r="C33" s="176"/>
      <c r="D33" s="86"/>
      <c r="E33" s="86"/>
      <c r="F33" s="86"/>
      <c r="G33" s="86"/>
      <c r="H33" s="86"/>
      <c r="I33" s="86"/>
      <c r="J33" s="86"/>
      <c r="K33" s="86"/>
      <c r="L33" s="3"/>
      <c r="M33" s="3"/>
      <c r="N33" s="3"/>
      <c r="O33" s="164"/>
      <c r="P33" s="107"/>
      <c r="Q33" s="107"/>
      <c r="R33" s="176"/>
      <c r="S33" s="86"/>
      <c r="T33" s="86"/>
      <c r="U33" s="86"/>
      <c r="V33" s="86"/>
      <c r="W33" s="86"/>
      <c r="X33" s="86"/>
      <c r="Y33" s="86"/>
      <c r="Z33" s="86"/>
      <c r="AA33" s="3"/>
      <c r="AB33" s="3"/>
      <c r="AC33" s="3"/>
      <c r="AD33" s="3"/>
      <c r="BJ33" s="1">
        <v>4</v>
      </c>
      <c r="BK33" s="1">
        <v>0.99931000000000003</v>
      </c>
    </row>
    <row r="34" spans="2:63" ht="14.25" customHeight="1" x14ac:dyDescent="0.25"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BJ34" s="1">
        <v>5</v>
      </c>
      <c r="BK34" s="1">
        <v>0.99931999999999999</v>
      </c>
    </row>
    <row r="35" spans="2:63" ht="15" customHeight="1" x14ac:dyDescent="0.25">
      <c r="B35" s="147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9"/>
      <c r="BJ35" s="1">
        <v>6</v>
      </c>
      <c r="BK35" s="1">
        <v>0.99933000000000005</v>
      </c>
    </row>
    <row r="36" spans="2:63" ht="15" customHeight="1" x14ac:dyDescent="0.25">
      <c r="B36" s="150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151"/>
      <c r="BJ36" s="1">
        <v>7</v>
      </c>
      <c r="BK36" s="1">
        <v>0.99934000000000001</v>
      </c>
    </row>
    <row r="37" spans="2:63" ht="15" customHeight="1" x14ac:dyDescent="0.25">
      <c r="B37" s="150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151"/>
      <c r="BJ37" s="1">
        <v>8</v>
      </c>
      <c r="BK37" s="1">
        <v>0.99936000000000003</v>
      </c>
    </row>
    <row r="38" spans="2:63" ht="15" customHeight="1" x14ac:dyDescent="0.25">
      <c r="B38" s="150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151"/>
      <c r="BJ38" s="1">
        <v>9</v>
      </c>
      <c r="BK38" s="1">
        <v>0.99936999999999998</v>
      </c>
    </row>
    <row r="39" spans="2:63" ht="15" customHeight="1" x14ac:dyDescent="0.25">
      <c r="B39" s="177" t="s">
        <v>43</v>
      </c>
      <c r="C39" s="84"/>
      <c r="D39" s="84"/>
      <c r="E39" s="84"/>
      <c r="F39" s="84"/>
      <c r="G39" s="36"/>
      <c r="H39" s="36"/>
      <c r="I39" s="36"/>
      <c r="J39" s="36"/>
      <c r="K39" s="36"/>
      <c r="L39" s="36"/>
      <c r="M39" s="37"/>
      <c r="N39" s="37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8"/>
      <c r="BJ39" s="1">
        <v>10</v>
      </c>
      <c r="BK39" s="1">
        <v>0.99938000000000005</v>
      </c>
    </row>
    <row r="40" spans="2:63" ht="15" customHeight="1" x14ac:dyDescent="0.25">
      <c r="B40" s="172" t="s">
        <v>44</v>
      </c>
      <c r="C40" s="133"/>
      <c r="D40" s="133"/>
      <c r="E40" s="133"/>
      <c r="F40" s="133"/>
      <c r="G40" s="39"/>
      <c r="H40" s="39"/>
      <c r="I40" s="39"/>
      <c r="J40" s="39"/>
      <c r="K40" s="39"/>
      <c r="L40" s="39"/>
      <c r="M40" s="40"/>
      <c r="N40" s="40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41"/>
      <c r="BJ40" s="1">
        <v>11</v>
      </c>
      <c r="BK40" s="1">
        <v>0.99939</v>
      </c>
    </row>
    <row r="41" spans="2:63" ht="15" customHeight="1" x14ac:dyDescent="0.25">
      <c r="BJ41" s="1">
        <v>12</v>
      </c>
      <c r="BK41" s="1">
        <v>0.99939999999999996</v>
      </c>
    </row>
    <row r="42" spans="2:63" ht="15" customHeight="1" x14ac:dyDescent="0.25">
      <c r="BJ42" s="1">
        <v>13</v>
      </c>
      <c r="BK42" s="1">
        <v>0.99941999999999998</v>
      </c>
    </row>
    <row r="43" spans="2:63" ht="15" customHeight="1" x14ac:dyDescent="0.25">
      <c r="BJ43" s="1">
        <v>14</v>
      </c>
      <c r="BK43" s="1">
        <v>0.99943000000000004</v>
      </c>
    </row>
    <row r="44" spans="2:63" ht="15" customHeight="1" x14ac:dyDescent="0.25">
      <c r="BJ44" s="1">
        <v>15</v>
      </c>
      <c r="BK44" s="1">
        <v>0.99944</v>
      </c>
    </row>
    <row r="45" spans="2:63" ht="15" customHeight="1" x14ac:dyDescent="0.25">
      <c r="BJ45" s="1">
        <v>16</v>
      </c>
      <c r="BK45" s="1">
        <v>0.99944999999999995</v>
      </c>
    </row>
    <row r="46" spans="2:63" ht="15" customHeight="1" x14ac:dyDescent="0.25">
      <c r="BJ46" s="1"/>
      <c r="BK46" s="1"/>
    </row>
    <row r="47" spans="2:63" ht="15" customHeight="1" x14ac:dyDescent="0.25">
      <c r="BJ47" s="1"/>
      <c r="BK47" s="1"/>
    </row>
    <row r="48" spans="2:63" ht="15" customHeight="1" x14ac:dyDescent="0.25">
      <c r="BJ48" s="1"/>
      <c r="BK48" s="1"/>
    </row>
    <row r="49" spans="2:63" ht="15" customHeight="1" x14ac:dyDescent="0.25">
      <c r="BJ49" s="1"/>
      <c r="BK49" s="1"/>
    </row>
    <row r="50" spans="2:63" ht="15" customHeight="1" x14ac:dyDescent="0.25">
      <c r="BJ50" s="1"/>
      <c r="BK50" s="1"/>
    </row>
    <row r="51" spans="2:63" ht="15" customHeight="1" x14ac:dyDescent="0.25">
      <c r="BJ51" s="1"/>
      <c r="BK51" s="1"/>
    </row>
    <row r="52" spans="2:63" ht="15" customHeight="1" x14ac:dyDescent="0.25">
      <c r="BJ52" s="1"/>
      <c r="BK52" s="1"/>
    </row>
    <row r="53" spans="2:63" ht="15" customHeight="1" x14ac:dyDescent="0.25">
      <c r="BJ53" s="1"/>
      <c r="BK53" s="1"/>
    </row>
    <row r="54" spans="2:63" ht="15" customHeight="1" x14ac:dyDescent="0.25">
      <c r="BJ54" s="1"/>
      <c r="BK54" s="1"/>
    </row>
    <row r="55" spans="2:63" ht="15" customHeight="1" x14ac:dyDescent="0.25">
      <c r="B55" s="42" t="s">
        <v>45</v>
      </c>
      <c r="C55" s="42"/>
      <c r="D55" s="42"/>
      <c r="E55" s="42"/>
      <c r="F55" s="42"/>
      <c r="G55" s="42"/>
      <c r="H55" s="42"/>
      <c r="BJ55" s="1"/>
      <c r="BK55" s="1"/>
    </row>
    <row r="56" spans="2:63" ht="15" customHeight="1" x14ac:dyDescent="0.25">
      <c r="B56" s="32" t="s">
        <v>46</v>
      </c>
      <c r="C56" s="32"/>
      <c r="D56" s="32"/>
      <c r="E56" s="32"/>
      <c r="F56" s="32"/>
      <c r="G56" s="32"/>
      <c r="H56" s="32"/>
      <c r="BJ56" s="1"/>
      <c r="BK56" s="1"/>
    </row>
    <row r="57" spans="2:63" ht="15" customHeight="1" x14ac:dyDescent="0.25">
      <c r="B57" s="32" t="s">
        <v>47</v>
      </c>
      <c r="C57" s="32"/>
      <c r="D57" s="32"/>
      <c r="E57" s="32"/>
      <c r="F57" s="32"/>
      <c r="G57" s="32"/>
      <c r="H57" s="32"/>
      <c r="BJ57" s="1"/>
      <c r="BK57" s="1"/>
    </row>
    <row r="58" spans="2:63" ht="15" customHeight="1" x14ac:dyDescent="0.25">
      <c r="B58" s="32" t="s">
        <v>48</v>
      </c>
      <c r="C58" s="32"/>
      <c r="D58" s="32"/>
      <c r="E58" s="32"/>
      <c r="F58" s="32"/>
      <c r="G58" s="32"/>
      <c r="H58" s="32"/>
      <c r="BJ58" s="1"/>
      <c r="BK58" s="1"/>
    </row>
    <row r="59" spans="2:63" ht="15" customHeight="1" x14ac:dyDescent="0.25">
      <c r="B59" s="32" t="s">
        <v>49</v>
      </c>
      <c r="C59" s="32"/>
      <c r="D59" s="32"/>
      <c r="E59" s="32"/>
      <c r="F59" s="32"/>
      <c r="G59" s="32"/>
      <c r="H59" s="32"/>
      <c r="BJ59" s="1"/>
      <c r="BK59" s="1"/>
    </row>
    <row r="60" spans="2:63" ht="15" customHeight="1" x14ac:dyDescent="0.25">
      <c r="B60" s="32" t="s">
        <v>50</v>
      </c>
      <c r="C60" s="32"/>
      <c r="D60" s="32"/>
      <c r="E60" s="32"/>
      <c r="F60" s="32"/>
      <c r="G60" s="32"/>
      <c r="H60" s="32"/>
      <c r="BJ60" s="1"/>
      <c r="BK60" s="1"/>
    </row>
    <row r="61" spans="2:63" ht="15" customHeight="1" x14ac:dyDescent="0.25">
      <c r="B61" s="32" t="s">
        <v>51</v>
      </c>
      <c r="C61" s="32"/>
      <c r="D61" s="32"/>
      <c r="E61" s="32"/>
      <c r="F61" s="43"/>
      <c r="G61" s="32"/>
      <c r="H61" s="32"/>
      <c r="BJ61" s="1"/>
      <c r="BK61" s="1"/>
    </row>
    <row r="62" spans="2:63" ht="15" customHeight="1" x14ac:dyDescent="0.25">
      <c r="B62" s="32" t="s">
        <v>52</v>
      </c>
      <c r="C62" s="32"/>
      <c r="D62" s="32"/>
      <c r="E62" s="32"/>
      <c r="F62" s="43"/>
      <c r="G62" s="32"/>
      <c r="H62" s="32"/>
      <c r="BJ62" s="1"/>
      <c r="BK62" s="1"/>
    </row>
    <row r="63" spans="2:63" ht="15" customHeight="1" x14ac:dyDescent="0.25">
      <c r="B63" s="32" t="s">
        <v>53</v>
      </c>
      <c r="C63" s="32"/>
      <c r="D63" s="32"/>
      <c r="E63" s="32"/>
      <c r="F63" s="43"/>
      <c r="G63" s="32"/>
      <c r="H63" s="32"/>
      <c r="BJ63" s="1"/>
      <c r="BK63" s="1"/>
    </row>
    <row r="64" spans="2:63" ht="15" customHeight="1" x14ac:dyDescent="0.25">
      <c r="B64" s="44" t="s">
        <v>54</v>
      </c>
      <c r="C64" s="44"/>
      <c r="D64" s="44"/>
      <c r="E64" s="44"/>
      <c r="F64" s="45"/>
      <c r="G64" s="44"/>
      <c r="H64" s="44"/>
      <c r="BJ64" s="1"/>
      <c r="BK64" s="1"/>
    </row>
    <row r="65" spans="2:63" ht="15" customHeight="1" x14ac:dyDescent="0.25">
      <c r="BJ65" s="1"/>
      <c r="BK65" s="1"/>
    </row>
    <row r="66" spans="2:63" ht="15" customHeight="1" x14ac:dyDescent="0.25">
      <c r="B66" s="142" t="s">
        <v>55</v>
      </c>
      <c r="C66" s="82"/>
      <c r="D66" s="82"/>
      <c r="E66" s="82"/>
      <c r="F66" s="82"/>
      <c r="G66" s="82"/>
      <c r="H66" s="82"/>
      <c r="I66" s="82"/>
      <c r="J66" s="82"/>
      <c r="BJ66" s="1"/>
      <c r="BK66" s="1"/>
    </row>
    <row r="67" spans="2:63" ht="12" customHeight="1" x14ac:dyDescent="0.25">
      <c r="B67" t="s">
        <v>56</v>
      </c>
      <c r="BJ67" s="1"/>
      <c r="BK67" s="1"/>
    </row>
    <row r="68" spans="2:63" ht="12" customHeight="1" x14ac:dyDescent="0.25">
      <c r="B68" t="s">
        <v>57</v>
      </c>
      <c r="BJ68" s="1"/>
      <c r="BK68" s="1"/>
    </row>
    <row r="69" spans="2:63" ht="12" customHeight="1" x14ac:dyDescent="0.25">
      <c r="B69" s="4" t="s">
        <v>58</v>
      </c>
      <c r="BJ69" s="1">
        <v>17</v>
      </c>
      <c r="BK69" s="1">
        <v>0.99946999999999997</v>
      </c>
    </row>
    <row r="70" spans="2:63" ht="12" customHeight="1" x14ac:dyDescent="0.25">
      <c r="B70" s="4" t="s">
        <v>59</v>
      </c>
      <c r="BJ70" s="1">
        <v>18</v>
      </c>
      <c r="BK70" s="1">
        <v>0.99948000000000004</v>
      </c>
    </row>
    <row r="71" spans="2:63" ht="12" customHeight="1" x14ac:dyDescent="0.25">
      <c r="B71" s="4"/>
      <c r="BJ71" s="1">
        <v>19</v>
      </c>
      <c r="BK71" s="1">
        <v>0.99948999999999999</v>
      </c>
    </row>
    <row r="72" spans="2:63" ht="12" customHeight="1" x14ac:dyDescent="0.25">
      <c r="B72" t="s">
        <v>60</v>
      </c>
      <c r="BJ72" s="1">
        <v>20</v>
      </c>
      <c r="BK72" s="1">
        <v>0.99950000000000006</v>
      </c>
    </row>
    <row r="73" spans="2:63" ht="12" customHeight="1" x14ac:dyDescent="0.25">
      <c r="B73" t="s">
        <v>61</v>
      </c>
      <c r="BJ73" s="1">
        <v>21</v>
      </c>
      <c r="BK73" s="1">
        <v>0.99951999999999996</v>
      </c>
    </row>
    <row r="74" spans="2:63" ht="12" customHeight="1" x14ac:dyDescent="0.25">
      <c r="B74" s="4" t="s">
        <v>62</v>
      </c>
      <c r="BJ74" s="1">
        <v>22</v>
      </c>
      <c r="BK74" s="1">
        <v>0.99953000000000003</v>
      </c>
    </row>
    <row r="75" spans="2:63" ht="12" customHeight="1" x14ac:dyDescent="0.25">
      <c r="B75" s="4"/>
      <c r="BJ75" s="1">
        <v>23</v>
      </c>
      <c r="BK75" s="1">
        <v>0.99953000000000003</v>
      </c>
    </row>
    <row r="76" spans="2:63" ht="12" customHeight="1" x14ac:dyDescent="0.25">
      <c r="B76" t="s">
        <v>63</v>
      </c>
      <c r="BJ76" s="1">
        <v>24</v>
      </c>
      <c r="BK76" s="1">
        <v>0.99955000000000005</v>
      </c>
    </row>
    <row r="77" spans="2:63" ht="12" customHeight="1" x14ac:dyDescent="0.25">
      <c r="B77" s="4" t="s">
        <v>64</v>
      </c>
      <c r="BJ77" s="1">
        <v>25</v>
      </c>
      <c r="BK77" s="1">
        <v>0.99956999999999996</v>
      </c>
    </row>
    <row r="78" spans="2:63" ht="12" customHeight="1" x14ac:dyDescent="0.25">
      <c r="B78" s="4" t="s">
        <v>65</v>
      </c>
      <c r="BJ78" s="1">
        <v>26</v>
      </c>
      <c r="BK78" s="1">
        <v>0.99958000000000002</v>
      </c>
    </row>
    <row r="79" spans="2:63" ht="12" customHeight="1" x14ac:dyDescent="0.25">
      <c r="B79" s="4"/>
      <c r="BJ79" s="1">
        <v>27</v>
      </c>
      <c r="BK79" s="1">
        <v>0.99958999999999998</v>
      </c>
    </row>
    <row r="80" spans="2:63" ht="12" customHeight="1" x14ac:dyDescent="0.25">
      <c r="B80" t="s">
        <v>66</v>
      </c>
      <c r="BJ80" s="1">
        <v>28</v>
      </c>
      <c r="BK80" s="1">
        <v>0.99960000000000004</v>
      </c>
    </row>
    <row r="81" spans="2:63" ht="12" customHeight="1" x14ac:dyDescent="0.25">
      <c r="B81" t="s">
        <v>67</v>
      </c>
      <c r="BJ81" s="1">
        <v>29</v>
      </c>
      <c r="BK81" s="1">
        <v>0.99961999999999995</v>
      </c>
    </row>
    <row r="82" spans="2:63" ht="12" customHeight="1" x14ac:dyDescent="0.25">
      <c r="BJ82" s="1">
        <v>30</v>
      </c>
      <c r="BK82" s="1">
        <v>0.99963000000000002</v>
      </c>
    </row>
    <row r="83" spans="2:63" ht="12" customHeight="1" x14ac:dyDescent="0.25">
      <c r="B83" s="4" t="s">
        <v>68</v>
      </c>
      <c r="BJ83" s="1">
        <v>31</v>
      </c>
      <c r="BK83" s="1">
        <v>0.99963999999999997</v>
      </c>
    </row>
    <row r="84" spans="2:63" ht="12" customHeight="1" x14ac:dyDescent="0.25">
      <c r="B84" s="4" t="s">
        <v>69</v>
      </c>
      <c r="BJ84" s="1">
        <v>32</v>
      </c>
      <c r="BK84" s="1">
        <v>0.99965000000000004</v>
      </c>
    </row>
    <row r="85" spans="2:63" ht="12" customHeight="1" x14ac:dyDescent="0.25">
      <c r="B85" s="4" t="s">
        <v>70</v>
      </c>
      <c r="BJ85" s="1">
        <v>33</v>
      </c>
      <c r="BK85" s="1">
        <v>0.99966999999999995</v>
      </c>
    </row>
    <row r="86" spans="2:63" ht="12" customHeight="1" x14ac:dyDescent="0.25">
      <c r="BJ86" s="1">
        <v>34</v>
      </c>
      <c r="BK86" s="1">
        <v>0.99968000000000001</v>
      </c>
    </row>
    <row r="87" spans="2:63" ht="12" customHeight="1" x14ac:dyDescent="0.25">
      <c r="B87" s="46" t="s">
        <v>71</v>
      </c>
      <c r="BJ87" s="1">
        <v>35</v>
      </c>
      <c r="BK87" s="1">
        <v>0.99968999999999997</v>
      </c>
    </row>
    <row r="88" spans="2:63" ht="12" customHeight="1" x14ac:dyDescent="0.25">
      <c r="B88" t="s">
        <v>72</v>
      </c>
      <c r="BJ88" s="1">
        <v>36</v>
      </c>
      <c r="BK88" s="1">
        <v>0.99970000000000003</v>
      </c>
    </row>
    <row r="89" spans="2:63" ht="12" customHeight="1" x14ac:dyDescent="0.25">
      <c r="BJ89" s="1">
        <v>37</v>
      </c>
      <c r="BK89" s="1">
        <v>0.99970999999999999</v>
      </c>
    </row>
    <row r="90" spans="2:63" ht="12" customHeight="1" x14ac:dyDescent="0.25">
      <c r="B90" t="s">
        <v>73</v>
      </c>
      <c r="BJ90" s="1">
        <v>38</v>
      </c>
      <c r="BK90" s="1">
        <v>0.99973000000000001</v>
      </c>
    </row>
    <row r="91" spans="2:63" ht="12" customHeight="1" x14ac:dyDescent="0.25">
      <c r="B91" t="s">
        <v>74</v>
      </c>
      <c r="BJ91" s="1">
        <v>39</v>
      </c>
      <c r="BK91" s="1">
        <v>0.99973999999999996</v>
      </c>
    </row>
    <row r="92" spans="2:63" ht="12" customHeight="1" x14ac:dyDescent="0.25">
      <c r="BJ92" s="1">
        <v>40</v>
      </c>
      <c r="BK92" s="1">
        <v>0.99975000000000003</v>
      </c>
    </row>
    <row r="93" spans="2:63" ht="12" customHeight="1" x14ac:dyDescent="0.25">
      <c r="B93" t="s">
        <v>75</v>
      </c>
      <c r="BJ93" s="1">
        <v>41</v>
      </c>
      <c r="BK93" s="1">
        <v>0.99975999999999998</v>
      </c>
    </row>
    <row r="94" spans="2:63" ht="12" customHeight="1" x14ac:dyDescent="0.25">
      <c r="B94" t="s">
        <v>76</v>
      </c>
      <c r="BJ94" s="1">
        <v>42</v>
      </c>
      <c r="BK94" s="1">
        <v>0.99978</v>
      </c>
    </row>
    <row r="95" spans="2:63" ht="12" customHeight="1" x14ac:dyDescent="0.25">
      <c r="BJ95" s="1">
        <v>43</v>
      </c>
      <c r="BK95" s="1">
        <v>0.99978999999999996</v>
      </c>
    </row>
    <row r="96" spans="2:63" ht="12" customHeight="1" x14ac:dyDescent="0.25">
      <c r="B96" s="4" t="s">
        <v>77</v>
      </c>
      <c r="BJ96" s="1">
        <v>44</v>
      </c>
      <c r="BK96" s="1">
        <v>0.99980000000000002</v>
      </c>
    </row>
    <row r="97" spans="2:63" ht="12" customHeight="1" x14ac:dyDescent="0.25">
      <c r="B97" t="s">
        <v>78</v>
      </c>
      <c r="BJ97" s="1">
        <v>45</v>
      </c>
      <c r="BK97" s="1">
        <v>0.99980999999999998</v>
      </c>
    </row>
    <row r="98" spans="2:63" ht="12" customHeight="1" x14ac:dyDescent="0.25">
      <c r="BJ98" s="1">
        <v>46</v>
      </c>
      <c r="BK98" s="1">
        <v>0.99983</v>
      </c>
    </row>
    <row r="99" spans="2:63" ht="12" customHeight="1" x14ac:dyDescent="0.25">
      <c r="B99" s="4" t="s">
        <v>79</v>
      </c>
      <c r="BJ99" s="1">
        <v>47</v>
      </c>
      <c r="BK99" s="1">
        <v>0.99983999999999995</v>
      </c>
    </row>
    <row r="100" spans="2:63" ht="12" customHeight="1" x14ac:dyDescent="0.25">
      <c r="B100" t="s">
        <v>80</v>
      </c>
      <c r="BJ100" s="1">
        <v>48</v>
      </c>
      <c r="BK100" s="1">
        <v>0.99985000000000002</v>
      </c>
    </row>
    <row r="101" spans="2:63" ht="12" customHeight="1" x14ac:dyDescent="0.25">
      <c r="B101" s="4" t="s">
        <v>81</v>
      </c>
      <c r="BJ101" s="1">
        <v>49</v>
      </c>
      <c r="BK101" s="1">
        <v>0.99985999999999997</v>
      </c>
    </row>
    <row r="102" spans="2:63" ht="12" customHeight="1" x14ac:dyDescent="0.25">
      <c r="BJ102" s="1">
        <v>50</v>
      </c>
      <c r="BK102" s="1">
        <v>0.99987999999999999</v>
      </c>
    </row>
    <row r="103" spans="2:63" ht="12" customHeight="1" x14ac:dyDescent="0.25">
      <c r="B103" t="s">
        <v>82</v>
      </c>
      <c r="BJ103" s="1">
        <v>51</v>
      </c>
      <c r="BK103" s="1">
        <v>0.99988999999999995</v>
      </c>
    </row>
    <row r="104" spans="2:63" ht="12" customHeight="1" x14ac:dyDescent="0.25">
      <c r="BJ104" s="1">
        <v>52</v>
      </c>
      <c r="BK104" s="1">
        <v>0.99990000000000001</v>
      </c>
    </row>
    <row r="105" spans="2:63" ht="12" customHeight="1" x14ac:dyDescent="0.25">
      <c r="B105" t="s">
        <v>83</v>
      </c>
      <c r="BJ105" s="1">
        <v>53</v>
      </c>
      <c r="BK105" s="1">
        <v>0.99990999999999997</v>
      </c>
    </row>
    <row r="106" spans="2:63" ht="12" customHeight="1" x14ac:dyDescent="0.25">
      <c r="BJ106" s="1">
        <v>54</v>
      </c>
      <c r="BK106" s="1">
        <v>0.99992999999999999</v>
      </c>
    </row>
    <row r="107" spans="2:63" ht="12" customHeight="1" x14ac:dyDescent="0.25">
      <c r="B107" t="s">
        <v>84</v>
      </c>
      <c r="BJ107" s="1">
        <v>55</v>
      </c>
      <c r="BK107" s="1">
        <v>0.99994000000000005</v>
      </c>
    </row>
    <row r="108" spans="2:63" ht="12" customHeight="1" x14ac:dyDescent="0.25">
      <c r="BJ108" s="1">
        <v>56</v>
      </c>
      <c r="BK108" s="1">
        <v>0.99995000000000001</v>
      </c>
    </row>
    <row r="109" spans="2:63" ht="12" customHeight="1" x14ac:dyDescent="0.25">
      <c r="B109" t="s">
        <v>85</v>
      </c>
      <c r="BJ109" s="1">
        <v>57</v>
      </c>
      <c r="BK109" s="1">
        <v>0.99995999999999996</v>
      </c>
    </row>
    <row r="110" spans="2:63" ht="12" customHeight="1" x14ac:dyDescent="0.25">
      <c r="B110" t="s">
        <v>86</v>
      </c>
      <c r="BJ110" s="1">
        <v>58</v>
      </c>
      <c r="BK110" s="1">
        <v>0.99997999999999998</v>
      </c>
    </row>
    <row r="111" spans="2:63" ht="12" customHeight="1" x14ac:dyDescent="0.25">
      <c r="B111" s="4" t="s">
        <v>87</v>
      </c>
      <c r="BJ111" s="1">
        <v>59</v>
      </c>
      <c r="BK111" s="1">
        <v>0.99999000000000005</v>
      </c>
    </row>
    <row r="112" spans="2:63" ht="12" customHeight="1" x14ac:dyDescent="0.25">
      <c r="B112" s="4"/>
      <c r="BJ112" s="1">
        <v>60</v>
      </c>
      <c r="BK112" s="1">
        <v>1</v>
      </c>
    </row>
    <row r="113" spans="2:63" ht="12" customHeight="1" x14ac:dyDescent="0.25">
      <c r="B113" t="s">
        <v>88</v>
      </c>
      <c r="BJ113" s="1">
        <v>61</v>
      </c>
      <c r="BK113" s="1">
        <v>1.0000100000000001</v>
      </c>
    </row>
    <row r="114" spans="2:63" ht="12" customHeight="1" x14ac:dyDescent="0.25">
      <c r="BJ114" s="1">
        <v>62</v>
      </c>
      <c r="BK114" s="1">
        <v>1.0000199999999999</v>
      </c>
    </row>
    <row r="115" spans="2:63" ht="12" customHeight="1" x14ac:dyDescent="0.25">
      <c r="B115" t="s">
        <v>89</v>
      </c>
      <c r="BJ115" s="1">
        <v>63</v>
      </c>
      <c r="BK115" s="1">
        <v>1.00004</v>
      </c>
    </row>
    <row r="116" spans="2:63" ht="12" customHeight="1" x14ac:dyDescent="0.25">
      <c r="B116" t="s">
        <v>90</v>
      </c>
      <c r="BJ116" s="1">
        <v>64</v>
      </c>
      <c r="BK116" s="1">
        <v>1.0000500000000001</v>
      </c>
    </row>
    <row r="117" spans="2:63" ht="12" customHeight="1" x14ac:dyDescent="0.25">
      <c r="BJ117" s="1">
        <v>65</v>
      </c>
      <c r="BK117" s="1">
        <v>1.0000599999999999</v>
      </c>
    </row>
    <row r="118" spans="2:63" ht="12" customHeight="1" x14ac:dyDescent="0.25">
      <c r="B118" t="s">
        <v>91</v>
      </c>
      <c r="BJ118" s="1">
        <v>66</v>
      </c>
      <c r="BK118" s="1">
        <v>1.00007</v>
      </c>
    </row>
    <row r="119" spans="2:63" ht="12" customHeight="1" x14ac:dyDescent="0.25">
      <c r="B119" t="s">
        <v>92</v>
      </c>
      <c r="BJ119" s="1">
        <v>67</v>
      </c>
      <c r="BK119" s="1">
        <v>1.0000899999999999</v>
      </c>
    </row>
    <row r="120" spans="2:63" ht="12" customHeight="1" x14ac:dyDescent="0.25">
      <c r="BJ120" s="1">
        <v>68</v>
      </c>
      <c r="BK120" s="1">
        <v>1.0001</v>
      </c>
    </row>
    <row r="121" spans="2:63" ht="12" customHeight="1" x14ac:dyDescent="0.25">
      <c r="B121" t="s">
        <v>93</v>
      </c>
      <c r="BJ121" s="1">
        <v>69</v>
      </c>
      <c r="BK121" s="1">
        <v>1.0001100000000001</v>
      </c>
    </row>
    <row r="122" spans="2:63" ht="12" customHeight="1" x14ac:dyDescent="0.25">
      <c r="BJ122" s="1">
        <v>70</v>
      </c>
      <c r="BK122" s="1">
        <v>1.0001199999999999</v>
      </c>
    </row>
    <row r="123" spans="2:63" ht="12" customHeight="1" x14ac:dyDescent="0.25">
      <c r="B123" t="s">
        <v>94</v>
      </c>
      <c r="BJ123" s="1">
        <v>71</v>
      </c>
      <c r="BK123" s="1">
        <v>1.00014</v>
      </c>
    </row>
    <row r="124" spans="2:63" ht="12" customHeight="1" x14ac:dyDescent="0.25">
      <c r="B124" t="s">
        <v>95</v>
      </c>
      <c r="BJ124" s="1">
        <v>72</v>
      </c>
      <c r="BK124" s="1">
        <v>1.0001500000000001</v>
      </c>
    </row>
    <row r="125" spans="2:63" ht="12" customHeight="1" x14ac:dyDescent="0.25">
      <c r="BJ125" s="1">
        <v>73</v>
      </c>
      <c r="BK125" s="1">
        <v>1.0001599999999999</v>
      </c>
    </row>
    <row r="126" spans="2:63" ht="12" customHeight="1" x14ac:dyDescent="0.25">
      <c r="B126" s="4" t="s">
        <v>96</v>
      </c>
      <c r="BJ126" s="1">
        <v>74</v>
      </c>
      <c r="BK126" s="1">
        <v>1.00017</v>
      </c>
    </row>
    <row r="127" spans="2:63" ht="12" customHeight="1" x14ac:dyDescent="0.25">
      <c r="B127" s="4"/>
      <c r="BJ127" s="1">
        <v>75</v>
      </c>
      <c r="BK127" s="1">
        <v>1.0001899999999999</v>
      </c>
    </row>
    <row r="128" spans="2:63" ht="12" customHeight="1" x14ac:dyDescent="0.25">
      <c r="B128" t="s">
        <v>97</v>
      </c>
      <c r="BJ128" s="1">
        <v>76</v>
      </c>
      <c r="BK128" s="1">
        <v>1.0002</v>
      </c>
    </row>
    <row r="129" spans="2:63" ht="12" customHeight="1" x14ac:dyDescent="0.25">
      <c r="B129" s="4" t="s">
        <v>98</v>
      </c>
      <c r="BJ129" s="1">
        <v>77</v>
      </c>
      <c r="BK129" s="1">
        <v>1.00021</v>
      </c>
    </row>
    <row r="130" spans="2:63" ht="12" customHeight="1" x14ac:dyDescent="0.25">
      <c r="B130" s="47" t="s">
        <v>99</v>
      </c>
      <c r="BJ130" s="1">
        <v>78</v>
      </c>
      <c r="BK130" s="1">
        <v>1.0002200000000001</v>
      </c>
    </row>
    <row r="131" spans="2:63" ht="12" customHeight="1" x14ac:dyDescent="0.25">
      <c r="B131" s="47" t="s">
        <v>100</v>
      </c>
      <c r="BJ131" s="1">
        <v>79</v>
      </c>
      <c r="BK131" s="1">
        <v>1.00024</v>
      </c>
    </row>
    <row r="132" spans="2:63" ht="15" customHeight="1" x14ac:dyDescent="0.25">
      <c r="BJ132" s="1">
        <v>80</v>
      </c>
      <c r="BK132" s="1">
        <v>1.0002500000000001</v>
      </c>
    </row>
    <row r="133" spans="2:63" ht="15" customHeight="1" x14ac:dyDescent="0.25">
      <c r="BJ133" s="1">
        <v>81</v>
      </c>
      <c r="BK133" s="1">
        <v>1.0002599999999999</v>
      </c>
    </row>
    <row r="134" spans="2:63" ht="15" customHeight="1" x14ac:dyDescent="0.25">
      <c r="BJ134" s="1">
        <v>82</v>
      </c>
      <c r="BK134" s="1">
        <v>1.00027</v>
      </c>
    </row>
    <row r="135" spans="2:63" ht="15" customHeight="1" x14ac:dyDescent="0.25">
      <c r="BJ135" s="1">
        <v>83</v>
      </c>
      <c r="BK135" s="1">
        <v>1.0002899999999999</v>
      </c>
    </row>
    <row r="136" spans="2:63" ht="15" customHeight="1" x14ac:dyDescent="0.25">
      <c r="BJ136" s="1">
        <v>84</v>
      </c>
      <c r="BK136" s="1">
        <v>1.0003</v>
      </c>
    </row>
    <row r="137" spans="2:63" ht="15" customHeight="1" x14ac:dyDescent="0.25">
      <c r="BJ137" s="1">
        <v>85</v>
      </c>
      <c r="BK137" s="1">
        <v>1.00031</v>
      </c>
    </row>
    <row r="138" spans="2:63" ht="15" customHeight="1" x14ac:dyDescent="0.25">
      <c r="BJ138" s="1">
        <v>86</v>
      </c>
      <c r="BK138" s="1">
        <v>1.0003200000000001</v>
      </c>
    </row>
    <row r="139" spans="2:63" ht="15" customHeight="1" x14ac:dyDescent="0.25">
      <c r="BJ139" s="1">
        <v>87</v>
      </c>
      <c r="BK139" s="1">
        <v>1.0003299999999999</v>
      </c>
    </row>
    <row r="140" spans="2:63" ht="15" customHeight="1" x14ac:dyDescent="0.25">
      <c r="BJ140" s="1">
        <v>88</v>
      </c>
      <c r="BK140" s="1">
        <v>1.0003500000000001</v>
      </c>
    </row>
    <row r="141" spans="2:63" ht="15" customHeight="1" x14ac:dyDescent="0.25">
      <c r="BJ141" s="1">
        <v>89</v>
      </c>
      <c r="BK141" s="1">
        <v>1.0003599999999999</v>
      </c>
    </row>
    <row r="142" spans="2:63" ht="15" customHeight="1" x14ac:dyDescent="0.25">
      <c r="BJ142" s="1">
        <v>90</v>
      </c>
      <c r="BK142" s="1">
        <v>1.00037</v>
      </c>
    </row>
    <row r="143" spans="2:63" ht="15" customHeight="1" x14ac:dyDescent="0.25">
      <c r="BJ143" s="1">
        <v>91</v>
      </c>
      <c r="BK143" s="1">
        <v>1.00038</v>
      </c>
    </row>
    <row r="144" spans="2:63" ht="15" customHeight="1" x14ac:dyDescent="0.25">
      <c r="BJ144" s="1">
        <v>92</v>
      </c>
      <c r="BK144" s="1">
        <v>1.0004</v>
      </c>
    </row>
    <row r="145" spans="2:63" ht="15" customHeight="1" x14ac:dyDescent="0.25">
      <c r="BJ145" s="1">
        <v>93</v>
      </c>
      <c r="BK145" s="1">
        <v>1.00041</v>
      </c>
    </row>
    <row r="146" spans="2:63" ht="15" customHeight="1" x14ac:dyDescent="0.25">
      <c r="BJ146" s="1">
        <v>94</v>
      </c>
      <c r="BK146" s="1">
        <v>100042</v>
      </c>
    </row>
    <row r="147" spans="2:63" ht="15" customHeight="1" x14ac:dyDescent="0.25">
      <c r="BJ147" s="1">
        <v>95</v>
      </c>
      <c r="BK147" s="1">
        <v>1.0004299999999999</v>
      </c>
    </row>
    <row r="148" spans="2:63" ht="15" customHeight="1" x14ac:dyDescent="0.25">
      <c r="BJ148" s="1">
        <v>96</v>
      </c>
      <c r="BK148" s="1">
        <v>1.0004500000000001</v>
      </c>
    </row>
    <row r="149" spans="2:63" ht="15" customHeight="1" x14ac:dyDescent="0.25">
      <c r="BJ149" s="1">
        <v>97</v>
      </c>
      <c r="BK149" s="1">
        <v>1.0004599999999999</v>
      </c>
    </row>
    <row r="150" spans="2:63" ht="15" customHeight="1" x14ac:dyDescent="0.25">
      <c r="BJ150" s="1">
        <v>98</v>
      </c>
      <c r="BK150" s="1">
        <v>1.00047</v>
      </c>
    </row>
    <row r="151" spans="2:63" ht="15" customHeight="1" x14ac:dyDescent="0.25">
      <c r="B151" s="1"/>
      <c r="C151" s="1"/>
      <c r="D151" s="1"/>
      <c r="E151" s="1"/>
      <c r="F151" s="1"/>
      <c r="BJ151" s="1">
        <v>99</v>
      </c>
      <c r="BK151" s="1">
        <v>1.00048</v>
      </c>
    </row>
    <row r="152" spans="2:63" ht="15" customHeight="1" x14ac:dyDescent="0.25">
      <c r="BJ152" s="1">
        <v>100</v>
      </c>
      <c r="BK152" s="1">
        <v>1.0004999999999999</v>
      </c>
    </row>
    <row r="153" spans="2:63" ht="15" customHeight="1" x14ac:dyDescent="0.25">
      <c r="BJ153" s="1">
        <v>101</v>
      </c>
      <c r="BK153" s="1">
        <v>1.00051</v>
      </c>
    </row>
    <row r="154" spans="2:63" ht="18" customHeight="1" x14ac:dyDescent="0.45">
      <c r="B154" s="1"/>
      <c r="C154" s="48"/>
      <c r="D154" s="1"/>
      <c r="BJ154" s="1">
        <v>102</v>
      </c>
      <c r="BK154" s="1">
        <v>1.0005200000000001</v>
      </c>
    </row>
    <row r="155" spans="2:63" ht="15" customHeight="1" x14ac:dyDescent="0.25">
      <c r="B155" s="1"/>
      <c r="C155" s="1"/>
      <c r="D155" s="1"/>
      <c r="BJ155" s="1">
        <v>103</v>
      </c>
      <c r="BK155" s="1">
        <v>1.0005299999999999</v>
      </c>
    </row>
    <row r="156" spans="2:63" ht="15" customHeight="1" x14ac:dyDescent="0.25">
      <c r="B156" s="1"/>
      <c r="C156" s="1"/>
      <c r="D156" s="1"/>
      <c r="BJ156" s="1">
        <v>104</v>
      </c>
      <c r="BK156" s="1">
        <v>1.0005500000000001</v>
      </c>
    </row>
    <row r="157" spans="2:63" ht="15" customHeight="1" x14ac:dyDescent="0.25">
      <c r="B157" s="1"/>
      <c r="C157" s="1"/>
      <c r="D157" s="1"/>
      <c r="BJ157" s="1">
        <v>105</v>
      </c>
      <c r="BK157" s="1">
        <v>1.0005599999999999</v>
      </c>
    </row>
    <row r="158" spans="2:63" ht="18" customHeight="1" x14ac:dyDescent="0.45">
      <c r="B158" s="1"/>
      <c r="C158" s="48"/>
      <c r="D158" s="1"/>
      <c r="BJ158" s="1">
        <v>106</v>
      </c>
      <c r="BK158" s="1">
        <v>1.00057</v>
      </c>
    </row>
    <row r="159" spans="2:63" ht="15" customHeight="1" x14ac:dyDescent="0.25">
      <c r="B159" s="1"/>
      <c r="C159" s="1"/>
      <c r="D159" s="1"/>
      <c r="BJ159" s="1">
        <v>107</v>
      </c>
      <c r="BK159" s="1">
        <v>1.00058</v>
      </c>
    </row>
    <row r="160" spans="2:63" ht="18" customHeight="1" x14ac:dyDescent="0.45">
      <c r="B160" s="1"/>
      <c r="C160" s="48"/>
      <c r="D160" s="1"/>
      <c r="BJ160" s="1">
        <v>108</v>
      </c>
      <c r="BK160" s="1">
        <v>1.0005999999999999</v>
      </c>
    </row>
    <row r="161" spans="2:63" ht="18" customHeight="1" x14ac:dyDescent="0.45">
      <c r="B161" s="1"/>
      <c r="C161" s="48"/>
      <c r="D161" s="1"/>
      <c r="BJ161" s="1">
        <v>109</v>
      </c>
      <c r="BK161" s="1">
        <v>1.00061</v>
      </c>
    </row>
    <row r="162" spans="2:63" ht="18" customHeight="1" x14ac:dyDescent="0.45">
      <c r="B162" s="1"/>
      <c r="C162" s="48"/>
      <c r="D162" s="1"/>
      <c r="BJ162" s="1">
        <v>110</v>
      </c>
      <c r="BK162" s="1">
        <v>1.0006200000000001</v>
      </c>
    </row>
    <row r="163" spans="2:63" ht="18" customHeight="1" x14ac:dyDescent="0.45">
      <c r="B163" s="1"/>
      <c r="C163" s="48"/>
      <c r="D163" s="1"/>
      <c r="BJ163" s="1">
        <v>111</v>
      </c>
      <c r="BK163" s="1">
        <v>1.0006299999999999</v>
      </c>
    </row>
    <row r="164" spans="2:63" ht="18" customHeight="1" x14ac:dyDescent="0.45">
      <c r="B164" s="1"/>
      <c r="C164" s="48"/>
      <c r="D164" s="1"/>
      <c r="BJ164" s="1">
        <v>112</v>
      </c>
      <c r="BK164" s="1">
        <v>1.00064</v>
      </c>
    </row>
    <row r="165" spans="2:63" ht="18" customHeight="1" x14ac:dyDescent="0.45">
      <c r="B165" s="1"/>
      <c r="C165" s="48"/>
      <c r="D165" s="1"/>
      <c r="BJ165" s="1">
        <v>113</v>
      </c>
      <c r="BK165" s="1">
        <v>1.0006600000000001</v>
      </c>
    </row>
    <row r="166" spans="2:63" ht="15" customHeight="1" x14ac:dyDescent="0.25">
      <c r="B166" s="1"/>
      <c r="C166" s="1"/>
      <c r="D166" s="1"/>
      <c r="BJ166" s="1">
        <v>114</v>
      </c>
      <c r="BK166" s="1">
        <v>1.0006699999999999</v>
      </c>
    </row>
    <row r="167" spans="2:63" ht="15" customHeight="1" x14ac:dyDescent="0.25">
      <c r="B167" s="1"/>
      <c r="C167" s="1"/>
      <c r="D167" s="1"/>
      <c r="BJ167" s="1">
        <v>115</v>
      </c>
      <c r="BK167" s="1">
        <v>1.00068</v>
      </c>
    </row>
    <row r="168" spans="2:63" ht="15" customHeight="1" x14ac:dyDescent="0.25">
      <c r="B168" s="1"/>
      <c r="C168" s="1"/>
      <c r="D168" s="1"/>
      <c r="BJ168" s="1">
        <v>116</v>
      </c>
      <c r="BK168" s="1">
        <v>1.0006900000000001</v>
      </c>
    </row>
    <row r="169" spans="2:63" ht="18" customHeight="1" x14ac:dyDescent="0.45">
      <c r="B169" s="1"/>
      <c r="C169" s="48"/>
      <c r="D169" s="1"/>
      <c r="BJ169" s="1">
        <v>117</v>
      </c>
      <c r="BK169" s="1">
        <v>1.00071</v>
      </c>
    </row>
    <row r="170" spans="2:63" ht="18" customHeight="1" x14ac:dyDescent="0.45">
      <c r="B170" s="1"/>
      <c r="C170" s="48"/>
      <c r="D170" s="1"/>
      <c r="BJ170" s="1">
        <v>118</v>
      </c>
      <c r="BK170" s="1">
        <v>1.0007200000000001</v>
      </c>
    </row>
    <row r="171" spans="2:63" ht="18" customHeight="1" x14ac:dyDescent="0.45">
      <c r="B171" s="1"/>
      <c r="C171" s="48"/>
      <c r="D171" s="1"/>
      <c r="BJ171" s="1">
        <v>119</v>
      </c>
      <c r="BK171" s="1">
        <v>1.0007299999999999</v>
      </c>
    </row>
    <row r="172" spans="2:63" ht="15" customHeight="1" x14ac:dyDescent="0.25">
      <c r="B172" s="1"/>
      <c r="C172" s="1"/>
      <c r="D172" s="1"/>
      <c r="BJ172" s="1">
        <v>120</v>
      </c>
      <c r="BK172" s="1">
        <v>1.00074</v>
      </c>
    </row>
    <row r="173" spans="2:63" ht="15" customHeight="1" x14ac:dyDescent="0.25">
      <c r="B173" s="1"/>
      <c r="C173" s="1"/>
      <c r="D173" s="1"/>
      <c r="BJ173" s="1">
        <v>121</v>
      </c>
      <c r="BK173" s="1">
        <v>1.0007600000000001</v>
      </c>
    </row>
    <row r="174" spans="2:63" ht="15" customHeight="1" x14ac:dyDescent="0.25">
      <c r="B174" s="1"/>
      <c r="C174" s="1"/>
      <c r="D174" s="1"/>
      <c r="BJ174" s="1">
        <v>122</v>
      </c>
      <c r="BK174" s="1">
        <v>1.0007699999999999</v>
      </c>
    </row>
    <row r="175" spans="2:63" ht="15" customHeight="1" x14ac:dyDescent="0.25">
      <c r="B175" s="1"/>
      <c r="C175" s="1"/>
      <c r="D175" s="1"/>
      <c r="BJ175" s="1">
        <v>123</v>
      </c>
      <c r="BK175" s="1">
        <v>1.00078</v>
      </c>
    </row>
    <row r="176" spans="2:63" ht="15" customHeight="1" x14ac:dyDescent="0.25">
      <c r="B176" s="1"/>
      <c r="C176" s="1"/>
      <c r="D176" s="1"/>
      <c r="BJ176" s="1">
        <v>124</v>
      </c>
      <c r="BK176" s="1">
        <v>1.0007900000000001</v>
      </c>
    </row>
    <row r="177" spans="2:63" ht="15" customHeight="1" x14ac:dyDescent="0.25">
      <c r="B177" s="1"/>
      <c r="C177" s="1"/>
      <c r="D177" s="1"/>
      <c r="BJ177" s="1">
        <v>125</v>
      </c>
      <c r="BK177" s="1">
        <v>1.00081</v>
      </c>
    </row>
    <row r="178" spans="2:63" ht="15" customHeight="1" x14ac:dyDescent="0.25">
      <c r="B178" s="1"/>
      <c r="C178" s="1"/>
      <c r="D178" s="1"/>
      <c r="BJ178" s="1">
        <v>126</v>
      </c>
      <c r="BK178" s="1">
        <v>1.00082</v>
      </c>
    </row>
    <row r="179" spans="2:63" ht="15" customHeight="1" x14ac:dyDescent="0.25">
      <c r="B179" s="1"/>
      <c r="C179" s="1"/>
      <c r="D179" s="1"/>
      <c r="BJ179" s="1">
        <v>127</v>
      </c>
      <c r="BK179" s="1">
        <v>1.0008300000000001</v>
      </c>
    </row>
    <row r="180" spans="2:63" ht="15" customHeight="1" x14ac:dyDescent="0.25">
      <c r="B180" s="1"/>
      <c r="C180" s="1"/>
      <c r="D180" s="1"/>
      <c r="BJ180" s="1">
        <v>128</v>
      </c>
      <c r="BK180" s="1">
        <v>1.00084</v>
      </c>
    </row>
    <row r="181" spans="2:63" ht="15" customHeight="1" x14ac:dyDescent="0.25">
      <c r="B181" s="1"/>
      <c r="C181" s="1"/>
      <c r="D181" s="1"/>
      <c r="BJ181" s="1">
        <v>129</v>
      </c>
      <c r="BK181" s="1">
        <v>1.0008600000000001</v>
      </c>
    </row>
    <row r="182" spans="2:63" ht="15" customHeight="1" x14ac:dyDescent="0.25">
      <c r="B182" s="1"/>
      <c r="C182" s="1"/>
      <c r="D182" s="1"/>
      <c r="BJ182" s="1">
        <v>130</v>
      </c>
      <c r="BK182" s="1">
        <v>1.0008699999999999</v>
      </c>
    </row>
    <row r="183" spans="2:63" ht="15" customHeight="1" x14ac:dyDescent="0.25">
      <c r="B183" s="1"/>
      <c r="C183" s="1"/>
      <c r="D183" s="1"/>
      <c r="BJ183" s="1">
        <v>131</v>
      </c>
      <c r="BK183" s="1">
        <v>1.00088</v>
      </c>
    </row>
    <row r="184" spans="2:63" ht="15" customHeight="1" x14ac:dyDescent="0.25">
      <c r="B184" s="1"/>
      <c r="C184" s="1"/>
      <c r="D184" s="1"/>
      <c r="BJ184" s="1">
        <v>132</v>
      </c>
      <c r="BK184" s="1">
        <v>1.0008900000000001</v>
      </c>
    </row>
    <row r="185" spans="2:63" ht="15" customHeight="1" x14ac:dyDescent="0.25">
      <c r="B185" s="1"/>
      <c r="C185" s="1"/>
      <c r="D185" s="1"/>
      <c r="BJ185" s="1">
        <v>133</v>
      </c>
      <c r="BK185" s="1">
        <v>1.00091</v>
      </c>
    </row>
    <row r="186" spans="2:63" ht="15" customHeight="1" x14ac:dyDescent="0.25">
      <c r="B186" s="1"/>
      <c r="C186" s="1"/>
      <c r="D186" s="1"/>
      <c r="BJ186" s="1">
        <v>134</v>
      </c>
      <c r="BK186" s="1">
        <v>1.00092</v>
      </c>
    </row>
    <row r="187" spans="2:63" ht="15" customHeight="1" x14ac:dyDescent="0.25">
      <c r="B187" s="1"/>
      <c r="C187" s="1"/>
      <c r="D187" s="1"/>
      <c r="BJ187" s="1">
        <v>135</v>
      </c>
      <c r="BK187" s="1">
        <v>1.0009300000000001</v>
      </c>
    </row>
    <row r="188" spans="2:63" ht="15" customHeight="1" x14ac:dyDescent="0.25">
      <c r="B188" s="1"/>
      <c r="C188" s="1"/>
      <c r="D188" s="1"/>
      <c r="BJ188" s="1">
        <v>136</v>
      </c>
      <c r="BK188" s="1">
        <v>1.0009399999999999</v>
      </c>
    </row>
    <row r="189" spans="2:63" ht="15" customHeight="1" x14ac:dyDescent="0.25">
      <c r="B189" s="1"/>
      <c r="C189" s="1"/>
      <c r="D189" s="1"/>
      <c r="BJ189" s="1">
        <v>137</v>
      </c>
      <c r="BK189" s="1">
        <v>1.0009600000000001</v>
      </c>
    </row>
    <row r="190" spans="2:63" ht="15" customHeight="1" x14ac:dyDescent="0.25">
      <c r="B190" s="1"/>
      <c r="C190" s="1"/>
      <c r="D190" s="1"/>
      <c r="BJ190" s="1">
        <v>138</v>
      </c>
      <c r="BK190" s="1">
        <v>1.0009699999999999</v>
      </c>
    </row>
    <row r="191" spans="2:63" ht="15" customHeight="1" x14ac:dyDescent="0.25">
      <c r="B191" s="1"/>
      <c r="C191" s="1"/>
      <c r="D191" s="1"/>
      <c r="BJ191" s="1">
        <v>139</v>
      </c>
      <c r="BK191" s="1">
        <v>1.00098</v>
      </c>
    </row>
    <row r="192" spans="2:63" ht="15" customHeight="1" x14ac:dyDescent="0.25">
      <c r="B192" s="1"/>
      <c r="C192" s="1"/>
      <c r="D192" s="1"/>
      <c r="BJ192" s="1">
        <v>140</v>
      </c>
      <c r="BK192" s="1">
        <v>1.00099</v>
      </c>
    </row>
    <row r="193" spans="2:63" ht="15" customHeight="1" x14ac:dyDescent="0.25">
      <c r="B193" s="1"/>
      <c r="C193" s="1"/>
      <c r="D193" s="1"/>
      <c r="BJ193" s="1">
        <v>141</v>
      </c>
      <c r="BK193" s="1">
        <v>1.0009999999999999</v>
      </c>
    </row>
    <row r="194" spans="2:63" ht="15" customHeight="1" x14ac:dyDescent="0.25">
      <c r="B194" s="1"/>
      <c r="C194" s="1"/>
      <c r="D194" s="1"/>
      <c r="BJ194" s="1">
        <v>142</v>
      </c>
      <c r="BK194" s="1">
        <v>1.00102</v>
      </c>
    </row>
    <row r="195" spans="2:63" ht="15" customHeight="1" x14ac:dyDescent="0.25">
      <c r="B195" s="1"/>
      <c r="C195" s="1"/>
      <c r="D195" s="1"/>
      <c r="BJ195" s="1">
        <v>143</v>
      </c>
      <c r="BK195" s="1">
        <v>1.0010300000000001</v>
      </c>
    </row>
    <row r="196" spans="2:63" ht="15" customHeight="1" x14ac:dyDescent="0.25">
      <c r="B196" s="1"/>
      <c r="C196" s="1"/>
      <c r="D196" s="1"/>
      <c r="BJ196" s="1">
        <v>144</v>
      </c>
      <c r="BK196" s="1">
        <v>1.0010399999999999</v>
      </c>
    </row>
    <row r="197" spans="2:63" ht="15" customHeight="1" x14ac:dyDescent="0.25">
      <c r="B197" s="1"/>
      <c r="C197" s="1"/>
      <c r="D197" s="1"/>
      <c r="BJ197" s="1">
        <v>145</v>
      </c>
      <c r="BK197" s="1">
        <v>1.00105</v>
      </c>
    </row>
    <row r="198" spans="2:63" ht="15" customHeight="1" x14ac:dyDescent="0.25">
      <c r="B198" s="1"/>
      <c r="C198" s="1"/>
      <c r="D198" s="1"/>
      <c r="BJ198" s="1">
        <v>146</v>
      </c>
      <c r="BK198" s="1">
        <v>1.0010699999999999</v>
      </c>
    </row>
    <row r="199" spans="2:63" ht="15" customHeight="1" x14ac:dyDescent="0.25">
      <c r="B199" s="1"/>
      <c r="C199" s="1"/>
      <c r="D199" s="1"/>
      <c r="BJ199" s="1">
        <v>147</v>
      </c>
      <c r="BK199" s="1">
        <v>1.00108</v>
      </c>
    </row>
    <row r="200" spans="2:63" ht="15" customHeight="1" x14ac:dyDescent="0.25">
      <c r="B200" s="1"/>
      <c r="C200" s="1"/>
      <c r="D200" s="1"/>
      <c r="BJ200" s="1">
        <v>148</v>
      </c>
      <c r="BK200" s="1">
        <v>1.00109</v>
      </c>
    </row>
    <row r="201" spans="2:63" ht="15" customHeight="1" x14ac:dyDescent="0.25">
      <c r="B201" s="1"/>
      <c r="C201" s="1"/>
      <c r="D201" s="1"/>
      <c r="BJ201" s="1">
        <v>149</v>
      </c>
      <c r="BK201" s="1">
        <v>1.0011000000000001</v>
      </c>
    </row>
    <row r="202" spans="2:63" ht="15" customHeight="1" x14ac:dyDescent="0.25">
      <c r="B202" s="1"/>
      <c r="C202" s="1"/>
      <c r="D202" s="1"/>
      <c r="BJ202" s="1">
        <v>150</v>
      </c>
      <c r="BK202" s="1">
        <v>1.00112</v>
      </c>
    </row>
    <row r="203" spans="2:63" ht="15" customHeight="1" x14ac:dyDescent="0.25">
      <c r="B203" s="1"/>
      <c r="C203" s="1"/>
      <c r="D203" s="1"/>
      <c r="BJ203" s="1">
        <v>151</v>
      </c>
      <c r="BK203" s="1">
        <v>1.0011300000000001</v>
      </c>
    </row>
    <row r="204" spans="2:63" ht="15" customHeight="1" x14ac:dyDescent="0.25">
      <c r="B204" s="1"/>
      <c r="C204" s="1"/>
      <c r="D204" s="1"/>
      <c r="BJ204" s="1">
        <v>152</v>
      </c>
      <c r="BK204" s="1">
        <v>1.0011399999999999</v>
      </c>
    </row>
    <row r="205" spans="2:63" ht="15" customHeight="1" x14ac:dyDescent="0.25">
      <c r="B205" s="1"/>
      <c r="C205" s="1"/>
      <c r="D205" s="1"/>
      <c r="BJ205" s="1">
        <v>153</v>
      </c>
      <c r="BK205" s="1">
        <v>1.00115</v>
      </c>
    </row>
    <row r="206" spans="2:63" ht="15" customHeight="1" x14ac:dyDescent="0.25">
      <c r="B206" s="1"/>
      <c r="C206" s="1"/>
      <c r="D206" s="1"/>
      <c r="BJ206" s="1">
        <v>154</v>
      </c>
      <c r="BK206" s="1">
        <v>1.0011699999999999</v>
      </c>
    </row>
    <row r="207" spans="2:63" ht="15" customHeight="1" x14ac:dyDescent="0.25">
      <c r="B207" s="1"/>
      <c r="C207" s="1"/>
      <c r="D207" s="1"/>
      <c r="BJ207" s="1">
        <v>155</v>
      </c>
      <c r="BK207" s="1">
        <v>1.00118</v>
      </c>
    </row>
    <row r="208" spans="2:63" ht="15" customHeight="1" x14ac:dyDescent="0.25">
      <c r="B208" s="1"/>
      <c r="C208" s="1"/>
      <c r="D208" s="1"/>
      <c r="BJ208" s="1">
        <v>156</v>
      </c>
      <c r="BK208" s="1">
        <v>1.00119</v>
      </c>
    </row>
    <row r="209" spans="2:63" ht="15" customHeight="1" x14ac:dyDescent="0.25">
      <c r="B209" s="1"/>
      <c r="C209" s="1"/>
      <c r="D209" s="1"/>
      <c r="BJ209" s="1">
        <v>157</v>
      </c>
      <c r="BK209" s="1">
        <v>1.0012000000000001</v>
      </c>
    </row>
    <row r="210" spans="2:63" ht="15" customHeight="1" x14ac:dyDescent="0.25">
      <c r="B210" s="1"/>
      <c r="C210" s="1"/>
      <c r="D210" s="1"/>
      <c r="BJ210" s="1">
        <v>158</v>
      </c>
      <c r="BK210" s="1">
        <v>1.00122</v>
      </c>
    </row>
    <row r="211" spans="2:63" ht="15" customHeight="1" x14ac:dyDescent="0.25">
      <c r="B211" s="1"/>
      <c r="C211" s="1"/>
      <c r="D211" s="1"/>
      <c r="BJ211" s="1">
        <v>159</v>
      </c>
      <c r="BK211" s="1">
        <v>1.0012300000000001</v>
      </c>
    </row>
    <row r="212" spans="2:63" ht="15" customHeight="1" x14ac:dyDescent="0.25">
      <c r="B212" s="1"/>
      <c r="C212" s="1"/>
      <c r="D212" s="1"/>
      <c r="BJ212" s="1">
        <v>160</v>
      </c>
      <c r="BK212" s="1">
        <v>1.0012399999999999</v>
      </c>
    </row>
    <row r="213" spans="2:63" ht="15" customHeight="1" x14ac:dyDescent="0.25">
      <c r="B213" s="1"/>
      <c r="C213" s="1"/>
      <c r="D213" s="1"/>
      <c r="BJ213" s="1">
        <v>161</v>
      </c>
      <c r="BK213" s="1">
        <v>1.00125</v>
      </c>
    </row>
    <row r="214" spans="2:63" ht="15" customHeight="1" x14ac:dyDescent="0.25">
      <c r="B214" s="1"/>
      <c r="C214" s="1"/>
      <c r="D214" s="1"/>
      <c r="BJ214" s="1">
        <v>162</v>
      </c>
      <c r="BK214" s="1">
        <v>1.0012700000000001</v>
      </c>
    </row>
    <row r="215" spans="2:63" ht="15" customHeight="1" x14ac:dyDescent="0.25">
      <c r="B215" s="1"/>
      <c r="C215" s="1"/>
      <c r="D215" s="1"/>
      <c r="BJ215" s="1">
        <v>163</v>
      </c>
      <c r="BK215" s="1">
        <v>1.0012799999999999</v>
      </c>
    </row>
    <row r="216" spans="2:63" ht="15" customHeight="1" x14ac:dyDescent="0.25">
      <c r="B216" s="1"/>
      <c r="C216" s="1"/>
      <c r="D216" s="1"/>
      <c r="BJ216" s="1">
        <v>164</v>
      </c>
      <c r="BK216" s="1">
        <v>1.00129</v>
      </c>
    </row>
    <row r="217" spans="2:63" ht="15" customHeight="1" x14ac:dyDescent="0.25">
      <c r="B217" s="1"/>
      <c r="C217" s="1"/>
      <c r="D217" s="1"/>
      <c r="BJ217" s="1">
        <v>165</v>
      </c>
      <c r="BK217" s="1">
        <v>1.0013000000000001</v>
      </c>
    </row>
    <row r="218" spans="2:63" ht="15" customHeight="1" x14ac:dyDescent="0.25">
      <c r="B218" s="1"/>
      <c r="C218" s="1"/>
      <c r="D218" s="1"/>
      <c r="BJ218" s="1">
        <v>166</v>
      </c>
      <c r="BK218" s="1">
        <v>1.0013099999999999</v>
      </c>
    </row>
    <row r="219" spans="2:63" ht="15" customHeight="1" x14ac:dyDescent="0.25">
      <c r="B219" s="1"/>
      <c r="C219" s="1"/>
      <c r="D219" s="1"/>
      <c r="BJ219" s="1">
        <v>167</v>
      </c>
      <c r="BK219" s="1">
        <v>1.0013300000000001</v>
      </c>
    </row>
    <row r="220" spans="2:63" ht="15" customHeight="1" x14ac:dyDescent="0.25">
      <c r="B220" s="1"/>
      <c r="C220" s="1"/>
      <c r="D220" s="1"/>
      <c r="BJ220" s="1">
        <v>168</v>
      </c>
      <c r="BK220" s="1">
        <v>1.0013399999999999</v>
      </c>
    </row>
    <row r="221" spans="2:63" ht="15" customHeight="1" x14ac:dyDescent="0.25">
      <c r="B221" s="1"/>
      <c r="C221" s="1"/>
      <c r="D221" s="1"/>
      <c r="BJ221" s="1">
        <v>169</v>
      </c>
      <c r="BK221" s="1">
        <v>1.00135</v>
      </c>
    </row>
    <row r="222" spans="2:63" ht="15" customHeight="1" x14ac:dyDescent="0.25">
      <c r="B222" s="1"/>
      <c r="C222" s="1"/>
      <c r="D222" s="1"/>
      <c r="BJ222" s="1">
        <v>170</v>
      </c>
      <c r="BK222" s="1">
        <v>1.00136</v>
      </c>
    </row>
    <row r="223" spans="2:63" ht="15" customHeight="1" x14ac:dyDescent="0.25">
      <c r="B223" s="1"/>
      <c r="C223" s="1"/>
      <c r="D223" s="1"/>
      <c r="BJ223" s="1">
        <v>171</v>
      </c>
      <c r="BK223" s="1">
        <v>1.0013799999999999</v>
      </c>
    </row>
    <row r="224" spans="2:63" ht="15" customHeight="1" x14ac:dyDescent="0.25">
      <c r="B224" s="1"/>
      <c r="C224" s="1"/>
      <c r="D224" s="1"/>
      <c r="BJ224" s="1">
        <v>172</v>
      </c>
      <c r="BK224" s="1">
        <v>1.00139</v>
      </c>
    </row>
    <row r="225" spans="2:63" ht="15" customHeight="1" x14ac:dyDescent="0.25">
      <c r="B225" s="1"/>
      <c r="C225" s="1"/>
      <c r="D225" s="1"/>
      <c r="BJ225" s="1">
        <v>173</v>
      </c>
      <c r="BK225" s="1">
        <v>1.0014000000000001</v>
      </c>
    </row>
    <row r="226" spans="2:63" ht="15" customHeight="1" x14ac:dyDescent="0.25">
      <c r="B226" s="1"/>
      <c r="C226" s="1"/>
      <c r="D226" s="1"/>
      <c r="BJ226" s="1">
        <v>174</v>
      </c>
      <c r="BK226" s="1">
        <v>1.0014099999999999</v>
      </c>
    </row>
    <row r="227" spans="2:63" ht="15" customHeight="1" x14ac:dyDescent="0.25">
      <c r="B227" s="1"/>
      <c r="C227" s="1"/>
      <c r="D227" s="1"/>
      <c r="BJ227" s="1">
        <v>175</v>
      </c>
      <c r="BK227" s="1">
        <v>1.00143</v>
      </c>
    </row>
    <row r="228" spans="2:63" ht="15" customHeight="1" x14ac:dyDescent="0.25">
      <c r="B228" s="1"/>
      <c r="C228" s="1"/>
      <c r="D228" s="1"/>
      <c r="BJ228" s="1">
        <v>176</v>
      </c>
      <c r="BK228" s="1">
        <v>1.0014400000000001</v>
      </c>
    </row>
    <row r="229" spans="2:63" ht="15" customHeight="1" x14ac:dyDescent="0.25">
      <c r="B229" s="1"/>
      <c r="C229" s="1"/>
      <c r="D229" s="1"/>
      <c r="BJ229" s="1">
        <v>177</v>
      </c>
      <c r="BK229" s="1">
        <v>1.00145</v>
      </c>
    </row>
    <row r="230" spans="2:63" ht="15" customHeight="1" x14ac:dyDescent="0.25">
      <c r="B230" s="1"/>
      <c r="C230" s="1"/>
      <c r="D230" s="1"/>
      <c r="BJ230" s="1">
        <v>178</v>
      </c>
      <c r="BK230" s="1">
        <v>1.00146</v>
      </c>
    </row>
    <row r="231" spans="2:63" ht="15" customHeight="1" x14ac:dyDescent="0.25">
      <c r="B231" s="1"/>
      <c r="C231" s="1"/>
      <c r="D231" s="1"/>
      <c r="BJ231" s="1">
        <v>179</v>
      </c>
      <c r="BK231" s="1">
        <v>1.0014799999999999</v>
      </c>
    </row>
    <row r="232" spans="2:63" ht="15" customHeight="1" x14ac:dyDescent="0.25">
      <c r="B232" s="1"/>
      <c r="C232" s="1"/>
      <c r="D232" s="1"/>
      <c r="BJ232" s="1">
        <v>180</v>
      </c>
      <c r="BK232" s="1">
        <v>1.00149</v>
      </c>
    </row>
    <row r="233" spans="2:63" ht="15" customHeight="1" x14ac:dyDescent="0.25">
      <c r="B233" s="1"/>
      <c r="C233" s="1"/>
      <c r="D233" s="1"/>
      <c r="BJ233" s="1">
        <v>181</v>
      </c>
      <c r="BK233" s="1">
        <v>1.0015000000000001</v>
      </c>
    </row>
    <row r="234" spans="2:63" ht="15" customHeight="1" x14ac:dyDescent="0.25">
      <c r="B234" s="1"/>
      <c r="C234" s="1"/>
      <c r="D234" s="1"/>
      <c r="BJ234" s="1">
        <v>182</v>
      </c>
      <c r="BK234" s="1">
        <v>1.0015099999999999</v>
      </c>
    </row>
    <row r="235" spans="2:63" ht="15" customHeight="1" x14ac:dyDescent="0.25">
      <c r="B235" s="1"/>
      <c r="C235" s="1"/>
      <c r="D235" s="1"/>
      <c r="BJ235" s="1">
        <v>183</v>
      </c>
      <c r="BK235" s="1">
        <v>1.00153</v>
      </c>
    </row>
    <row r="236" spans="2:63" ht="15" customHeight="1" x14ac:dyDescent="0.25">
      <c r="B236" s="1"/>
      <c r="C236" s="1"/>
      <c r="D236" s="1"/>
      <c r="BJ236" s="1">
        <v>184</v>
      </c>
      <c r="BK236" s="1">
        <v>1.0015400000000001</v>
      </c>
    </row>
    <row r="237" spans="2:63" ht="15" customHeight="1" x14ac:dyDescent="0.25">
      <c r="B237" s="1"/>
      <c r="C237" s="1"/>
      <c r="D237" s="1"/>
      <c r="BJ237" s="1">
        <v>185</v>
      </c>
      <c r="BK237" s="1">
        <v>1.0015499999999999</v>
      </c>
    </row>
    <row r="238" spans="2:63" ht="15" customHeight="1" x14ac:dyDescent="0.25">
      <c r="B238" s="1"/>
      <c r="C238" s="1"/>
      <c r="D238" s="1"/>
      <c r="BJ238" s="1">
        <v>186</v>
      </c>
      <c r="BK238" s="1">
        <v>1.00156</v>
      </c>
    </row>
    <row r="239" spans="2:63" ht="15" customHeight="1" x14ac:dyDescent="0.25">
      <c r="B239" s="1"/>
      <c r="C239" s="1"/>
      <c r="D239" s="1"/>
      <c r="BJ239" s="1">
        <v>187</v>
      </c>
      <c r="BK239" s="1">
        <v>1.0015799999999999</v>
      </c>
    </row>
    <row r="240" spans="2:63" ht="15" customHeight="1" x14ac:dyDescent="0.25">
      <c r="B240" s="1"/>
      <c r="C240" s="1"/>
      <c r="D240" s="1"/>
      <c r="BJ240" s="1">
        <v>188</v>
      </c>
      <c r="BK240" s="1">
        <v>1.00159</v>
      </c>
    </row>
    <row r="241" spans="2:63" ht="15" customHeight="1" x14ac:dyDescent="0.25">
      <c r="B241" s="1"/>
      <c r="C241" s="1"/>
      <c r="D241" s="1"/>
      <c r="BJ241" s="1">
        <v>189</v>
      </c>
      <c r="BK241" s="1">
        <v>1.0016</v>
      </c>
    </row>
    <row r="242" spans="2:63" ht="15" customHeight="1" x14ac:dyDescent="0.25">
      <c r="B242" s="1"/>
      <c r="C242" s="1"/>
      <c r="D242" s="1"/>
      <c r="BJ242" s="1">
        <v>190</v>
      </c>
      <c r="BK242" s="1">
        <v>1.0016099999999999</v>
      </c>
    </row>
    <row r="243" spans="2:63" ht="15" customHeight="1" x14ac:dyDescent="0.25">
      <c r="B243" s="1"/>
      <c r="C243" s="1"/>
      <c r="D243" s="1"/>
      <c r="BJ243" s="1">
        <v>191</v>
      </c>
      <c r="BK243" s="1">
        <v>1.00163</v>
      </c>
    </row>
    <row r="244" spans="2:63" ht="15" customHeight="1" x14ac:dyDescent="0.25">
      <c r="B244" s="1"/>
      <c r="C244" s="1"/>
      <c r="D244" s="1"/>
      <c r="BJ244" s="1">
        <v>192</v>
      </c>
      <c r="BK244" s="1">
        <v>1.0016400000000001</v>
      </c>
    </row>
    <row r="245" spans="2:63" ht="15" customHeight="1" x14ac:dyDescent="0.25">
      <c r="B245" s="1"/>
      <c r="C245" s="1"/>
      <c r="D245" s="1"/>
      <c r="BJ245" s="1">
        <v>193</v>
      </c>
      <c r="BK245" s="1">
        <v>1.0016499999999999</v>
      </c>
    </row>
    <row r="246" spans="2:63" ht="15" customHeight="1" x14ac:dyDescent="0.25">
      <c r="B246" s="1"/>
      <c r="C246" s="1"/>
      <c r="D246" s="1"/>
      <c r="BJ246" s="1">
        <v>194</v>
      </c>
      <c r="BK246" s="1">
        <v>1.00166</v>
      </c>
    </row>
    <row r="247" spans="2:63" ht="15" customHeight="1" x14ac:dyDescent="0.25">
      <c r="B247" s="1"/>
      <c r="C247" s="1"/>
      <c r="D247" s="1"/>
      <c r="BJ247" s="1">
        <v>195</v>
      </c>
      <c r="BK247" s="1">
        <v>1.0016700000000001</v>
      </c>
    </row>
    <row r="248" spans="2:63" ht="15" customHeight="1" x14ac:dyDescent="0.25">
      <c r="B248" s="1"/>
      <c r="C248" s="1"/>
      <c r="D248" s="1"/>
      <c r="BJ248" s="1">
        <v>196</v>
      </c>
      <c r="BK248" s="1">
        <v>1.00169</v>
      </c>
    </row>
    <row r="249" spans="2:63" ht="15" customHeight="1" x14ac:dyDescent="0.25">
      <c r="B249" s="1"/>
      <c r="C249" s="1"/>
      <c r="D249" s="1"/>
      <c r="BJ249" s="1">
        <v>197</v>
      </c>
      <c r="BK249" s="1">
        <v>1.0017</v>
      </c>
    </row>
    <row r="250" spans="2:63" ht="15" customHeight="1" x14ac:dyDescent="0.25">
      <c r="B250" s="1"/>
      <c r="C250" s="1"/>
      <c r="D250" s="1"/>
      <c r="BJ250" s="1">
        <v>198</v>
      </c>
      <c r="BK250" s="1">
        <v>1.0017100000000001</v>
      </c>
    </row>
    <row r="251" spans="2:63" ht="15" customHeight="1" x14ac:dyDescent="0.25">
      <c r="B251" s="1"/>
      <c r="C251" s="1"/>
      <c r="D251" s="1"/>
      <c r="BJ251" s="1">
        <v>199</v>
      </c>
      <c r="BK251" s="1">
        <v>1.0017199999999999</v>
      </c>
    </row>
    <row r="252" spans="2:63" ht="15" customHeight="1" x14ac:dyDescent="0.25">
      <c r="B252" s="1"/>
      <c r="C252" s="1"/>
      <c r="D252" s="1"/>
      <c r="BJ252" s="1">
        <v>200</v>
      </c>
      <c r="BK252" s="1">
        <v>1.0017400000000001</v>
      </c>
    </row>
    <row r="253" spans="2:63" ht="15" customHeight="1" x14ac:dyDescent="0.25">
      <c r="B253" s="1"/>
      <c r="C253" s="1"/>
      <c r="D253" s="1"/>
      <c r="BJ253" s="1">
        <v>201</v>
      </c>
      <c r="BK253" s="1">
        <v>1.0017499999999999</v>
      </c>
    </row>
    <row r="254" spans="2:63" ht="15" customHeight="1" x14ac:dyDescent="0.25">
      <c r="B254" s="1"/>
      <c r="C254" s="1"/>
      <c r="D254" s="1"/>
      <c r="BJ254" s="1">
        <v>202</v>
      </c>
      <c r="BK254" s="1">
        <v>1.00176</v>
      </c>
    </row>
    <row r="255" spans="2:63" ht="15" customHeight="1" x14ac:dyDescent="0.25">
      <c r="B255" s="1"/>
      <c r="C255" s="1"/>
      <c r="D255" s="1"/>
      <c r="BJ255" s="1">
        <v>203</v>
      </c>
      <c r="BK255" s="1">
        <v>1.00177</v>
      </c>
    </row>
    <row r="256" spans="2:63" ht="15" customHeight="1" x14ac:dyDescent="0.25">
      <c r="B256" s="1"/>
      <c r="C256" s="1"/>
      <c r="D256" s="1"/>
      <c r="BJ256" s="1">
        <v>204</v>
      </c>
      <c r="BK256" s="1">
        <v>1.00179</v>
      </c>
    </row>
    <row r="257" spans="2:63" ht="15" customHeight="1" x14ac:dyDescent="0.25">
      <c r="B257" s="1"/>
      <c r="C257" s="1"/>
      <c r="D257" s="1"/>
      <c r="BJ257" s="1">
        <v>205</v>
      </c>
      <c r="BK257" s="1">
        <v>1.0018</v>
      </c>
    </row>
    <row r="258" spans="2:63" ht="15" customHeight="1" x14ac:dyDescent="0.25">
      <c r="B258" s="1"/>
      <c r="C258" s="1"/>
      <c r="D258" s="1"/>
      <c r="BJ258" s="1">
        <v>206</v>
      </c>
      <c r="BK258" s="1">
        <v>1.0018100000000001</v>
      </c>
    </row>
    <row r="259" spans="2:63" ht="15" customHeight="1" x14ac:dyDescent="0.25">
      <c r="B259" s="1"/>
      <c r="C259" s="1"/>
      <c r="D259" s="1"/>
      <c r="BJ259" s="1">
        <v>207</v>
      </c>
      <c r="BK259" s="1">
        <v>1.0018199999999999</v>
      </c>
    </row>
    <row r="260" spans="2:63" ht="15" customHeight="1" x14ac:dyDescent="0.25">
      <c r="B260" s="1"/>
      <c r="C260" s="1"/>
      <c r="D260" s="1"/>
      <c r="BJ260" s="1">
        <v>208</v>
      </c>
      <c r="BK260" s="1">
        <v>1.0018400000000001</v>
      </c>
    </row>
    <row r="261" spans="2:63" ht="15" customHeight="1" x14ac:dyDescent="0.25">
      <c r="B261" s="1"/>
      <c r="C261" s="1"/>
      <c r="D261" s="1"/>
      <c r="BJ261" s="1">
        <v>209</v>
      </c>
      <c r="BK261" s="1">
        <v>1.0018499999999999</v>
      </c>
    </row>
    <row r="262" spans="2:63" ht="15" customHeight="1" x14ac:dyDescent="0.25">
      <c r="B262" s="1"/>
      <c r="C262" s="1"/>
      <c r="D262" s="1"/>
      <c r="BJ262" s="1">
        <v>210</v>
      </c>
      <c r="BK262" s="1">
        <v>1.00186</v>
      </c>
    </row>
    <row r="263" spans="2:63" ht="15" customHeight="1" x14ac:dyDescent="0.25">
      <c r="B263" s="1"/>
      <c r="C263" s="1"/>
      <c r="D263" s="1"/>
      <c r="BJ263" s="1">
        <v>211</v>
      </c>
      <c r="BK263" s="1">
        <v>1.00187</v>
      </c>
    </row>
    <row r="264" spans="2:63" ht="15" customHeight="1" x14ac:dyDescent="0.25">
      <c r="B264" s="1"/>
      <c r="C264" s="1"/>
      <c r="D264" s="1"/>
      <c r="BJ264" s="1">
        <v>212</v>
      </c>
      <c r="BK264" s="1">
        <v>1.0018899999999999</v>
      </c>
    </row>
    <row r="265" spans="2:63" ht="15" customHeight="1" x14ac:dyDescent="0.25">
      <c r="B265" s="1"/>
      <c r="C265" s="1"/>
      <c r="D265" s="1"/>
      <c r="BJ265" s="1">
        <v>213</v>
      </c>
      <c r="BK265" s="1">
        <v>1.0019</v>
      </c>
    </row>
    <row r="266" spans="2:63" ht="15" customHeight="1" x14ac:dyDescent="0.25">
      <c r="B266" s="1"/>
      <c r="C266" s="1"/>
      <c r="D266" s="1"/>
      <c r="BJ266" s="1">
        <v>214</v>
      </c>
      <c r="BK266" s="1">
        <v>1.0019100000000001</v>
      </c>
    </row>
    <row r="267" spans="2:63" ht="15" customHeight="1" x14ac:dyDescent="0.25">
      <c r="B267" s="1"/>
      <c r="C267" s="1"/>
      <c r="D267" s="1"/>
      <c r="BJ267" s="1">
        <v>215</v>
      </c>
      <c r="BK267" s="1">
        <v>1.0019199999999999</v>
      </c>
    </row>
    <row r="268" spans="2:63" ht="15" customHeight="1" x14ac:dyDescent="0.25">
      <c r="B268" s="1"/>
      <c r="C268" s="1"/>
      <c r="D268" s="1"/>
      <c r="BJ268" s="1">
        <v>216</v>
      </c>
      <c r="BK268" s="1">
        <v>1.0019400000000001</v>
      </c>
    </row>
    <row r="269" spans="2:63" ht="15" customHeight="1" x14ac:dyDescent="0.25">
      <c r="B269" s="1"/>
      <c r="C269" s="1"/>
      <c r="D269" s="1"/>
      <c r="BJ269" s="1">
        <v>217</v>
      </c>
      <c r="BK269" s="1">
        <v>1.0019499999999999</v>
      </c>
    </row>
    <row r="270" spans="2:63" ht="15" customHeight="1" x14ac:dyDescent="0.25">
      <c r="B270" s="1"/>
      <c r="C270" s="1"/>
      <c r="D270" s="1"/>
      <c r="BJ270" s="1">
        <v>218</v>
      </c>
      <c r="BK270" s="1">
        <v>1.00196</v>
      </c>
    </row>
    <row r="271" spans="2:63" ht="15" customHeight="1" x14ac:dyDescent="0.25">
      <c r="B271" s="1"/>
      <c r="C271" s="1"/>
      <c r="D271" s="1"/>
      <c r="BJ271" s="1">
        <v>219</v>
      </c>
      <c r="BK271" s="1">
        <v>1.00197</v>
      </c>
    </row>
    <row r="272" spans="2:63" ht="15" customHeight="1" x14ac:dyDescent="0.25">
      <c r="B272" s="1"/>
      <c r="C272" s="1"/>
      <c r="D272" s="1"/>
      <c r="BJ272" s="1">
        <v>220</v>
      </c>
      <c r="BK272" s="1">
        <v>1.0019800000000001</v>
      </c>
    </row>
    <row r="273" spans="2:63" ht="15" customHeight="1" x14ac:dyDescent="0.25">
      <c r="B273" s="1"/>
      <c r="C273" s="1"/>
      <c r="D273" s="1"/>
      <c r="BJ273" s="1">
        <v>221</v>
      </c>
      <c r="BK273" s="1">
        <v>1.002</v>
      </c>
    </row>
    <row r="274" spans="2:63" ht="15" customHeight="1" x14ac:dyDescent="0.25">
      <c r="B274" s="1"/>
      <c r="C274" s="1"/>
      <c r="D274" s="1"/>
      <c r="BJ274" s="1">
        <v>222</v>
      </c>
      <c r="BK274" s="1">
        <v>1.0020100000000001</v>
      </c>
    </row>
    <row r="275" spans="2:63" ht="15" customHeight="1" x14ac:dyDescent="0.25">
      <c r="B275" s="1"/>
      <c r="C275" s="1"/>
      <c r="D275" s="1"/>
      <c r="BJ275" s="1">
        <v>223</v>
      </c>
      <c r="BK275" s="1">
        <v>1.0020199999999999</v>
      </c>
    </row>
    <row r="276" spans="2:63" ht="15" customHeight="1" x14ac:dyDescent="0.25">
      <c r="B276" s="1"/>
      <c r="C276" s="1"/>
      <c r="D276" s="1"/>
      <c r="BJ276" s="1">
        <v>224</v>
      </c>
      <c r="BK276" s="1">
        <v>1.00203</v>
      </c>
    </row>
    <row r="277" spans="2:63" ht="15" customHeight="1" x14ac:dyDescent="0.25">
      <c r="B277" s="1"/>
      <c r="C277" s="1"/>
      <c r="D277" s="1"/>
      <c r="BJ277" s="1">
        <v>225</v>
      </c>
      <c r="BK277" s="1">
        <v>1.0020500000000001</v>
      </c>
    </row>
    <row r="278" spans="2:63" ht="15" customHeight="1" x14ac:dyDescent="0.25">
      <c r="B278" s="1"/>
      <c r="C278" s="1"/>
      <c r="D278" s="1"/>
      <c r="BJ278" s="1">
        <v>226</v>
      </c>
      <c r="BK278" s="1">
        <v>1.00206</v>
      </c>
    </row>
    <row r="279" spans="2:63" ht="15" customHeight="1" x14ac:dyDescent="0.25">
      <c r="B279" s="1"/>
      <c r="C279" s="1"/>
      <c r="D279" s="1"/>
      <c r="BJ279" s="1">
        <v>227</v>
      </c>
      <c r="BK279" s="1">
        <v>1.00207</v>
      </c>
    </row>
    <row r="280" spans="2:63" ht="15" customHeight="1" x14ac:dyDescent="0.25">
      <c r="B280" s="1"/>
      <c r="C280" s="1"/>
      <c r="D280" s="1"/>
      <c r="BJ280" s="1">
        <v>228</v>
      </c>
      <c r="BK280" s="1">
        <v>1.0020800000000001</v>
      </c>
    </row>
    <row r="281" spans="2:63" ht="15" customHeight="1" x14ac:dyDescent="0.25">
      <c r="B281" s="1"/>
      <c r="C281" s="1"/>
      <c r="D281" s="1"/>
      <c r="BJ281" s="1">
        <v>229</v>
      </c>
      <c r="BK281" s="1">
        <v>1.0021</v>
      </c>
    </row>
    <row r="282" spans="2:63" ht="15" customHeight="1" x14ac:dyDescent="0.25">
      <c r="B282" s="1"/>
      <c r="C282" s="1"/>
      <c r="D282" s="1"/>
      <c r="BJ282" s="1">
        <v>230</v>
      </c>
      <c r="BK282" s="1">
        <v>1.0021100000000001</v>
      </c>
    </row>
    <row r="283" spans="2:63" ht="15" customHeight="1" x14ac:dyDescent="0.25">
      <c r="B283" s="1"/>
      <c r="C283" s="1"/>
      <c r="D283" s="1"/>
      <c r="BJ283" s="1">
        <v>231</v>
      </c>
      <c r="BK283" s="1">
        <v>1.0021199999999999</v>
      </c>
    </row>
    <row r="284" spans="2:63" ht="15" customHeight="1" x14ac:dyDescent="0.25">
      <c r="B284" s="1"/>
      <c r="C284" s="1"/>
      <c r="D284" s="1"/>
      <c r="BJ284" s="1">
        <v>232</v>
      </c>
      <c r="BK284" s="1">
        <v>1.00213</v>
      </c>
    </row>
    <row r="285" spans="2:63" ht="15" customHeight="1" x14ac:dyDescent="0.25">
      <c r="B285" s="1"/>
      <c r="C285" s="1"/>
      <c r="D285" s="1"/>
      <c r="BJ285" s="1">
        <v>233</v>
      </c>
      <c r="BK285" s="1">
        <v>1.0021500000000001</v>
      </c>
    </row>
    <row r="286" spans="2:63" ht="15" customHeight="1" x14ac:dyDescent="0.25">
      <c r="B286" s="1"/>
      <c r="C286" s="1"/>
      <c r="D286" s="1"/>
      <c r="BJ286" s="1">
        <v>234</v>
      </c>
      <c r="BK286" s="1">
        <v>1.0021599999999999</v>
      </c>
    </row>
    <row r="287" spans="2:63" ht="15" customHeight="1" x14ac:dyDescent="0.25">
      <c r="B287" s="1"/>
      <c r="C287" s="1"/>
      <c r="D287" s="1"/>
      <c r="BJ287" s="1">
        <v>235</v>
      </c>
      <c r="BK287" s="1">
        <v>1.00217</v>
      </c>
    </row>
    <row r="288" spans="2:63" ht="15" customHeight="1" x14ac:dyDescent="0.25">
      <c r="B288" s="1"/>
      <c r="C288" s="1"/>
      <c r="D288" s="1"/>
      <c r="BJ288" s="1">
        <v>236</v>
      </c>
      <c r="BK288" s="1">
        <v>1.0021800000000001</v>
      </c>
    </row>
    <row r="289" spans="2:63" ht="15" customHeight="1" x14ac:dyDescent="0.25">
      <c r="B289" s="1"/>
      <c r="C289" s="1"/>
      <c r="D289" s="1"/>
      <c r="BJ289" s="1">
        <v>237</v>
      </c>
      <c r="BK289" s="1">
        <v>1.0022</v>
      </c>
    </row>
    <row r="290" spans="2:63" ht="15" customHeight="1" x14ac:dyDescent="0.25">
      <c r="B290" s="1"/>
      <c r="C290" s="1"/>
      <c r="D290" s="1"/>
      <c r="BJ290" s="1">
        <v>238</v>
      </c>
      <c r="BK290" s="1">
        <v>1.00221</v>
      </c>
    </row>
    <row r="291" spans="2:63" ht="15" customHeight="1" x14ac:dyDescent="0.25">
      <c r="B291" s="1"/>
      <c r="C291" s="1"/>
      <c r="D291" s="1"/>
      <c r="BJ291" s="1">
        <v>239</v>
      </c>
      <c r="BK291" s="1">
        <v>1.0022200000000001</v>
      </c>
    </row>
    <row r="292" spans="2:63" ht="15" customHeight="1" x14ac:dyDescent="0.25">
      <c r="B292" s="1"/>
      <c r="C292" s="1"/>
      <c r="D292" s="1"/>
      <c r="BJ292" s="1">
        <v>240</v>
      </c>
      <c r="BK292" s="1">
        <v>1.00223</v>
      </c>
    </row>
    <row r="293" spans="2:63" ht="15" customHeight="1" x14ac:dyDescent="0.25">
      <c r="B293" s="1"/>
      <c r="C293" s="1"/>
      <c r="D293" s="1"/>
      <c r="BJ293" s="1">
        <v>241</v>
      </c>
      <c r="BK293" s="1">
        <v>1.0022500000000001</v>
      </c>
    </row>
    <row r="294" spans="2:63" ht="15" customHeight="1" x14ac:dyDescent="0.25">
      <c r="B294" s="1"/>
      <c r="C294" s="1"/>
      <c r="D294" s="1"/>
      <c r="BJ294" s="1">
        <v>242</v>
      </c>
      <c r="BK294" s="1">
        <v>1.0022599999999999</v>
      </c>
    </row>
    <row r="295" spans="2:63" ht="15" customHeight="1" x14ac:dyDescent="0.25">
      <c r="B295" s="1"/>
      <c r="C295" s="1"/>
      <c r="D295" s="1"/>
      <c r="BJ295" s="1">
        <v>243</v>
      </c>
      <c r="BK295" s="1">
        <v>1.00227</v>
      </c>
    </row>
    <row r="296" spans="2:63" ht="15" customHeight="1" x14ac:dyDescent="0.25">
      <c r="B296" s="1"/>
      <c r="C296" s="1"/>
      <c r="D296" s="1"/>
      <c r="BJ296" s="1">
        <v>244</v>
      </c>
      <c r="BK296" s="1">
        <v>1.0022800000000001</v>
      </c>
    </row>
    <row r="297" spans="2:63" ht="15" customHeight="1" x14ac:dyDescent="0.25">
      <c r="B297" s="1"/>
      <c r="C297" s="1"/>
      <c r="D297" s="1"/>
      <c r="BJ297" s="1">
        <v>245</v>
      </c>
      <c r="BK297" s="1">
        <v>1.0023</v>
      </c>
    </row>
    <row r="298" spans="2:63" ht="15" customHeight="1" x14ac:dyDescent="0.25">
      <c r="B298" s="1"/>
      <c r="C298" s="1"/>
      <c r="D298" s="1"/>
      <c r="BJ298" s="1">
        <v>246</v>
      </c>
      <c r="BK298" s="1">
        <v>1.00231</v>
      </c>
    </row>
    <row r="299" spans="2:63" ht="15" customHeight="1" x14ac:dyDescent="0.25">
      <c r="B299" s="1"/>
      <c r="C299" s="1"/>
      <c r="D299" s="1"/>
      <c r="BJ299" s="1">
        <v>247</v>
      </c>
      <c r="BK299" s="1">
        <v>1.0023200000000001</v>
      </c>
    </row>
    <row r="300" spans="2:63" ht="15" customHeight="1" x14ac:dyDescent="0.25">
      <c r="B300" s="1"/>
      <c r="C300" s="1"/>
      <c r="D300" s="1"/>
      <c r="BJ300" s="1">
        <v>248</v>
      </c>
      <c r="BK300" s="1">
        <v>1.0023299999999999</v>
      </c>
    </row>
    <row r="301" spans="2:63" ht="15" customHeight="1" x14ac:dyDescent="0.25">
      <c r="B301" s="1"/>
      <c r="C301" s="1"/>
      <c r="D301" s="1"/>
      <c r="BJ301" s="1">
        <v>249</v>
      </c>
      <c r="BK301" s="1">
        <v>1.00234</v>
      </c>
    </row>
    <row r="302" spans="2:63" ht="15" customHeight="1" x14ac:dyDescent="0.25">
      <c r="B302" s="1"/>
      <c r="C302" s="1"/>
      <c r="D302" s="1"/>
      <c r="BJ302" s="1">
        <v>250</v>
      </c>
      <c r="BK302" s="1">
        <v>1.0023599999999999</v>
      </c>
    </row>
    <row r="303" spans="2:63" ht="15" customHeight="1" x14ac:dyDescent="0.25">
      <c r="B303" s="1"/>
      <c r="C303" s="1"/>
      <c r="D303" s="1"/>
      <c r="BJ303" s="1">
        <v>251</v>
      </c>
      <c r="BK303" s="1">
        <v>1.00237</v>
      </c>
    </row>
    <row r="304" spans="2:63" ht="15" customHeight="1" x14ac:dyDescent="0.25">
      <c r="B304" s="1"/>
      <c r="C304" s="1"/>
      <c r="D304" s="1"/>
      <c r="BJ304" s="1">
        <v>252</v>
      </c>
      <c r="BK304" s="1">
        <v>1.00238</v>
      </c>
    </row>
    <row r="305" spans="2:63" ht="15" customHeight="1" x14ac:dyDescent="0.25">
      <c r="B305" s="1"/>
      <c r="C305" s="1"/>
      <c r="D305" s="1"/>
      <c r="BJ305" s="1">
        <v>253</v>
      </c>
      <c r="BK305" s="1">
        <v>1.0023899999999999</v>
      </c>
    </row>
    <row r="306" spans="2:63" ht="15" customHeight="1" x14ac:dyDescent="0.25">
      <c r="B306" s="1"/>
      <c r="C306" s="1"/>
      <c r="D306" s="1"/>
      <c r="BJ306" s="1">
        <v>254</v>
      </c>
      <c r="BK306" s="1">
        <v>1.00241</v>
      </c>
    </row>
    <row r="307" spans="2:63" ht="15" customHeight="1" x14ac:dyDescent="0.25">
      <c r="B307" s="1"/>
      <c r="C307" s="1"/>
      <c r="D307" s="1"/>
      <c r="BJ307" s="1">
        <v>255</v>
      </c>
      <c r="BK307" s="1">
        <v>1.0024200000000001</v>
      </c>
    </row>
    <row r="308" spans="2:63" ht="15" customHeight="1" x14ac:dyDescent="0.25">
      <c r="B308" s="1"/>
      <c r="C308" s="1"/>
      <c r="D308" s="1"/>
      <c r="BJ308" s="1">
        <v>256</v>
      </c>
      <c r="BK308" s="1">
        <v>1.0024299999999999</v>
      </c>
    </row>
    <row r="309" spans="2:63" ht="15" customHeight="1" x14ac:dyDescent="0.25">
      <c r="B309" s="1"/>
      <c r="C309" s="1"/>
      <c r="D309" s="1"/>
      <c r="BJ309" s="1">
        <v>257</v>
      </c>
      <c r="BK309" s="1">
        <v>1.00244</v>
      </c>
    </row>
    <row r="310" spans="2:63" ht="15" customHeight="1" x14ac:dyDescent="0.25">
      <c r="B310" s="1"/>
      <c r="C310" s="1"/>
      <c r="D310" s="1"/>
      <c r="BJ310" s="1">
        <v>258</v>
      </c>
      <c r="BK310" s="1">
        <v>1.0024599999999999</v>
      </c>
    </row>
    <row r="311" spans="2:63" ht="15" customHeight="1" x14ac:dyDescent="0.25">
      <c r="B311" s="1"/>
      <c r="C311" s="1"/>
      <c r="D311" s="1"/>
      <c r="BJ311" s="1">
        <v>259</v>
      </c>
      <c r="BK311" s="1">
        <v>1.00247</v>
      </c>
    </row>
    <row r="312" spans="2:63" ht="15" customHeight="1" x14ac:dyDescent="0.25">
      <c r="B312" s="1"/>
      <c r="C312" s="1"/>
      <c r="D312" s="1"/>
      <c r="BJ312" s="1">
        <v>260</v>
      </c>
      <c r="BK312" s="1">
        <v>1.00248</v>
      </c>
    </row>
    <row r="313" spans="2:63" ht="15" customHeight="1" x14ac:dyDescent="0.25">
      <c r="B313" s="1"/>
      <c r="C313" s="1"/>
      <c r="D313" s="1"/>
      <c r="BJ313" s="1">
        <v>261</v>
      </c>
      <c r="BK313" s="1">
        <v>1.0024900000000001</v>
      </c>
    </row>
    <row r="314" spans="2:63" ht="15" customHeight="1" x14ac:dyDescent="0.25">
      <c r="B314" s="1"/>
      <c r="C314" s="1"/>
      <c r="D314" s="1"/>
      <c r="BJ314" s="1">
        <v>262</v>
      </c>
      <c r="BK314" s="1">
        <v>1.00251</v>
      </c>
    </row>
    <row r="315" spans="2:63" ht="15" customHeight="1" x14ac:dyDescent="0.25">
      <c r="B315" s="1"/>
      <c r="C315" s="1"/>
      <c r="D315" s="1"/>
      <c r="BJ315" s="1">
        <v>263</v>
      </c>
      <c r="BK315" s="1">
        <v>1.0025200000000001</v>
      </c>
    </row>
    <row r="316" spans="2:63" ht="15" customHeight="1" x14ac:dyDescent="0.25">
      <c r="B316" s="1"/>
      <c r="C316" s="1"/>
      <c r="D316" s="1"/>
      <c r="BJ316" s="1">
        <v>264</v>
      </c>
      <c r="BK316" s="1">
        <v>1.0025299999999999</v>
      </c>
    </row>
    <row r="317" spans="2:63" ht="15" customHeight="1" x14ac:dyDescent="0.25">
      <c r="B317" s="1"/>
      <c r="C317" s="1"/>
      <c r="D317" s="1"/>
      <c r="BJ317" s="1">
        <v>265</v>
      </c>
      <c r="BK317" s="1">
        <v>1.00254</v>
      </c>
    </row>
    <row r="318" spans="2:63" ht="15" customHeight="1" x14ac:dyDescent="0.25">
      <c r="B318" s="1"/>
      <c r="C318" s="1"/>
      <c r="D318" s="1"/>
      <c r="BJ318" s="1">
        <v>266</v>
      </c>
      <c r="BK318" s="1">
        <v>1.0025599999999999</v>
      </c>
    </row>
    <row r="319" spans="2:63" ht="15" customHeight="1" x14ac:dyDescent="0.25">
      <c r="B319" s="1"/>
      <c r="C319" s="1"/>
      <c r="D319" s="1"/>
      <c r="BJ319" s="1">
        <v>267</v>
      </c>
      <c r="BK319" s="1">
        <v>1.00257</v>
      </c>
    </row>
    <row r="320" spans="2:63" ht="15" customHeight="1" x14ac:dyDescent="0.25">
      <c r="B320" s="1"/>
      <c r="C320" s="1"/>
      <c r="D320" s="1"/>
      <c r="BJ320" s="1">
        <v>268</v>
      </c>
      <c r="BK320" s="1">
        <v>1.00258</v>
      </c>
    </row>
    <row r="321" spans="2:63" ht="15" customHeight="1" x14ac:dyDescent="0.25">
      <c r="B321" s="1"/>
      <c r="C321" s="1"/>
      <c r="D321" s="1"/>
      <c r="BJ321" s="1">
        <v>269</v>
      </c>
      <c r="BK321" s="1">
        <v>1.0025900000000001</v>
      </c>
    </row>
    <row r="322" spans="2:63" ht="15" customHeight="1" x14ac:dyDescent="0.25">
      <c r="B322" s="1"/>
      <c r="C322" s="1"/>
      <c r="D322" s="1"/>
      <c r="BJ322" s="1">
        <v>270</v>
      </c>
      <c r="BK322" s="1">
        <v>1.00261</v>
      </c>
    </row>
    <row r="323" spans="2:63" ht="15" customHeight="1" x14ac:dyDescent="0.25">
      <c r="B323" s="1"/>
      <c r="C323" s="1"/>
      <c r="D323" s="1"/>
      <c r="BJ323" s="1">
        <v>271</v>
      </c>
      <c r="BK323" s="1">
        <v>1.0026200000000001</v>
      </c>
    </row>
    <row r="324" spans="2:63" ht="15" customHeight="1" x14ac:dyDescent="0.25">
      <c r="B324" s="1"/>
      <c r="C324" s="1"/>
      <c r="D324" s="1"/>
      <c r="BJ324" s="1">
        <v>272</v>
      </c>
      <c r="BK324" s="1">
        <v>1.0026299999999999</v>
      </c>
    </row>
    <row r="325" spans="2:63" ht="15" customHeight="1" x14ac:dyDescent="0.25">
      <c r="B325" s="1"/>
      <c r="C325" s="1"/>
      <c r="D325" s="1"/>
      <c r="BJ325" s="1">
        <v>273</v>
      </c>
      <c r="BK325" s="1">
        <v>1.00264</v>
      </c>
    </row>
    <row r="326" spans="2:63" ht="15" customHeight="1" x14ac:dyDescent="0.25">
      <c r="B326" s="1"/>
      <c r="C326" s="1"/>
      <c r="D326" s="1"/>
      <c r="BJ326" s="1">
        <v>274</v>
      </c>
      <c r="BK326" s="1">
        <v>1.0026600000000001</v>
      </c>
    </row>
    <row r="327" spans="2:63" ht="15" customHeight="1" x14ac:dyDescent="0.25">
      <c r="B327" s="1"/>
      <c r="C327" s="1"/>
      <c r="D327" s="1"/>
      <c r="BJ327" s="1">
        <v>275</v>
      </c>
      <c r="BK327" s="1">
        <v>1.00267</v>
      </c>
    </row>
    <row r="328" spans="2:63" ht="15" customHeight="1" x14ac:dyDescent="0.25">
      <c r="B328" s="1"/>
      <c r="C328" s="1"/>
      <c r="D328" s="1"/>
      <c r="BJ328" s="1">
        <v>276</v>
      </c>
      <c r="BK328" s="1">
        <v>1.00268</v>
      </c>
    </row>
    <row r="329" spans="2:63" ht="15" customHeight="1" x14ac:dyDescent="0.25">
      <c r="B329" s="1"/>
      <c r="C329" s="1"/>
      <c r="D329" s="1"/>
      <c r="BJ329" s="1">
        <v>277</v>
      </c>
      <c r="BK329" s="1">
        <v>1.0026900000000001</v>
      </c>
    </row>
    <row r="330" spans="2:63" ht="15" customHeight="1" x14ac:dyDescent="0.25">
      <c r="B330" s="1"/>
      <c r="C330" s="1"/>
      <c r="D330" s="1"/>
      <c r="BJ330" s="1">
        <v>278</v>
      </c>
      <c r="BK330" s="1">
        <v>1.00271</v>
      </c>
    </row>
    <row r="331" spans="2:63" ht="15" customHeight="1" x14ac:dyDescent="0.25">
      <c r="B331" s="1"/>
      <c r="C331" s="1"/>
      <c r="D331" s="1"/>
      <c r="BJ331" s="1">
        <v>279</v>
      </c>
      <c r="BK331" s="1">
        <v>1.0027200000000001</v>
      </c>
    </row>
    <row r="332" spans="2:63" ht="15" customHeight="1" x14ac:dyDescent="0.25">
      <c r="B332" s="1"/>
      <c r="C332" s="1"/>
      <c r="D332" s="1"/>
      <c r="BJ332" s="1">
        <v>280</v>
      </c>
      <c r="BK332" s="1">
        <v>1.0027299999999999</v>
      </c>
    </row>
    <row r="333" spans="2:63" ht="15" customHeight="1" x14ac:dyDescent="0.25">
      <c r="B333" s="1"/>
      <c r="C333" s="1"/>
      <c r="D333" s="1"/>
      <c r="BJ333" s="1">
        <v>281</v>
      </c>
      <c r="BK333" s="1">
        <v>1.00274</v>
      </c>
    </row>
    <row r="334" spans="2:63" ht="15" customHeight="1" x14ac:dyDescent="0.25">
      <c r="B334" s="1"/>
      <c r="C334" s="1"/>
      <c r="D334" s="1"/>
      <c r="BJ334" s="1">
        <v>282</v>
      </c>
      <c r="BK334" s="1">
        <v>1.00275</v>
      </c>
    </row>
    <row r="335" spans="2:63" ht="15" customHeight="1" x14ac:dyDescent="0.25">
      <c r="B335" s="1"/>
      <c r="C335" s="1"/>
      <c r="D335" s="1"/>
      <c r="BJ335" s="1">
        <v>283</v>
      </c>
      <c r="BK335" s="1">
        <v>1.0027699999999999</v>
      </c>
    </row>
    <row r="336" spans="2:63" ht="15" customHeight="1" x14ac:dyDescent="0.25">
      <c r="B336" s="1"/>
      <c r="C336" s="1"/>
      <c r="D336" s="1"/>
      <c r="BJ336" s="1">
        <v>284</v>
      </c>
      <c r="BK336" s="1">
        <v>1.00278</v>
      </c>
    </row>
    <row r="337" spans="2:63" ht="15" customHeight="1" x14ac:dyDescent="0.25">
      <c r="B337" s="1"/>
      <c r="C337" s="1"/>
      <c r="D337" s="1"/>
      <c r="BJ337" s="1">
        <v>285</v>
      </c>
      <c r="BK337" s="1">
        <v>1.0027900000000001</v>
      </c>
    </row>
    <row r="338" spans="2:63" ht="15" customHeight="1" x14ac:dyDescent="0.25">
      <c r="B338" s="1"/>
      <c r="C338" s="1"/>
      <c r="D338" s="1"/>
      <c r="BJ338" s="1">
        <v>286</v>
      </c>
      <c r="BK338" s="1">
        <v>1.0027999999999999</v>
      </c>
    </row>
    <row r="339" spans="2:63" ht="15" customHeight="1" x14ac:dyDescent="0.25">
      <c r="B339" s="1"/>
      <c r="C339" s="1"/>
      <c r="D339" s="1"/>
      <c r="BJ339" s="1">
        <v>287</v>
      </c>
      <c r="BK339" s="1">
        <v>1.00282</v>
      </c>
    </row>
    <row r="340" spans="2:63" ht="15" customHeight="1" x14ac:dyDescent="0.25">
      <c r="B340" s="1"/>
      <c r="C340" s="1"/>
      <c r="D340" s="1"/>
      <c r="BJ340" s="1">
        <v>288</v>
      </c>
      <c r="BK340" s="1">
        <v>1.0028300000000001</v>
      </c>
    </row>
    <row r="341" spans="2:63" ht="15" customHeight="1" x14ac:dyDescent="0.25">
      <c r="B341" s="1"/>
      <c r="C341" s="1"/>
      <c r="D341" s="1"/>
      <c r="BJ341" s="1">
        <v>289</v>
      </c>
      <c r="BK341" s="1">
        <v>1.00284</v>
      </c>
    </row>
    <row r="342" spans="2:63" ht="15" customHeight="1" x14ac:dyDescent="0.25">
      <c r="B342" s="1"/>
      <c r="C342" s="1"/>
      <c r="D342" s="1"/>
      <c r="BJ342" s="1">
        <v>290</v>
      </c>
      <c r="BK342" s="1">
        <v>1.00285</v>
      </c>
    </row>
    <row r="343" spans="2:63" ht="15" customHeight="1" x14ac:dyDescent="0.25">
      <c r="B343" s="1"/>
      <c r="C343" s="1"/>
      <c r="D343" s="1"/>
      <c r="BJ343" s="1">
        <v>291</v>
      </c>
      <c r="BK343" s="1">
        <v>1.0028699999999999</v>
      </c>
    </row>
    <row r="344" spans="2:63" ht="15" customHeight="1" x14ac:dyDescent="0.25">
      <c r="B344" s="1"/>
      <c r="C344" s="1"/>
      <c r="D344" s="1"/>
      <c r="BJ344" s="1">
        <v>292</v>
      </c>
      <c r="BK344" s="1">
        <v>1.00288</v>
      </c>
    </row>
    <row r="345" spans="2:63" ht="15" customHeight="1" x14ac:dyDescent="0.25">
      <c r="B345" s="1"/>
      <c r="C345" s="1"/>
      <c r="D345" s="1"/>
      <c r="BJ345" s="1">
        <v>293</v>
      </c>
      <c r="BK345" s="1">
        <v>1.0028900000000001</v>
      </c>
    </row>
    <row r="346" spans="2:63" ht="15" customHeight="1" x14ac:dyDescent="0.25">
      <c r="B346" s="1"/>
      <c r="C346" s="1"/>
      <c r="D346" s="1"/>
      <c r="BJ346" s="1">
        <v>294</v>
      </c>
      <c r="BK346" s="1">
        <v>1.0028999999999999</v>
      </c>
    </row>
    <row r="347" spans="2:63" ht="15" customHeight="1" x14ac:dyDescent="0.25">
      <c r="B347" s="1"/>
      <c r="C347" s="1"/>
      <c r="D347" s="1"/>
      <c r="BJ347" s="1">
        <v>295</v>
      </c>
      <c r="BK347" s="1">
        <v>1.00292</v>
      </c>
    </row>
    <row r="348" spans="2:63" ht="15" customHeight="1" x14ac:dyDescent="0.25">
      <c r="B348" s="1"/>
      <c r="C348" s="1"/>
      <c r="D348" s="1"/>
      <c r="BJ348" s="1">
        <v>296</v>
      </c>
      <c r="BK348" s="1">
        <v>1.0029300000000001</v>
      </c>
    </row>
    <row r="349" spans="2:63" ht="15" customHeight="1" x14ac:dyDescent="0.25">
      <c r="B349" s="1"/>
      <c r="C349" s="1"/>
      <c r="D349" s="1"/>
      <c r="BJ349" s="1">
        <v>297</v>
      </c>
      <c r="BK349" s="1">
        <v>1.0029399999999999</v>
      </c>
    </row>
    <row r="350" spans="2:63" ht="15" customHeight="1" x14ac:dyDescent="0.25">
      <c r="B350" s="1"/>
      <c r="C350" s="1"/>
      <c r="D350" s="1"/>
      <c r="BJ350" s="1">
        <v>298</v>
      </c>
      <c r="BK350" s="1">
        <v>1.00295</v>
      </c>
    </row>
    <row r="351" spans="2:63" ht="15" customHeight="1" x14ac:dyDescent="0.25">
      <c r="B351" s="1"/>
      <c r="C351" s="1"/>
      <c r="D351" s="1"/>
      <c r="BJ351" s="1">
        <v>299</v>
      </c>
      <c r="BK351" s="1">
        <v>1.0029699999999999</v>
      </c>
    </row>
    <row r="352" spans="2:63" ht="15" customHeight="1" x14ac:dyDescent="0.25">
      <c r="B352" s="1"/>
      <c r="C352" s="1"/>
      <c r="D352" s="1"/>
      <c r="BJ352" s="1">
        <v>300</v>
      </c>
      <c r="BK352" s="1">
        <v>1.00298</v>
      </c>
    </row>
    <row r="353" spans="2:4" ht="15" customHeight="1" x14ac:dyDescent="0.25">
      <c r="B353" s="1"/>
      <c r="C353" s="1"/>
      <c r="D353" s="1"/>
    </row>
    <row r="354" spans="2:4" ht="15" customHeight="1" x14ac:dyDescent="0.25">
      <c r="B354" s="1"/>
      <c r="C354" s="1"/>
      <c r="D354" s="1"/>
    </row>
    <row r="355" spans="2:4" ht="15" customHeight="1" x14ac:dyDescent="0.25">
      <c r="B355" s="1"/>
      <c r="C355" s="1"/>
      <c r="D355" s="1"/>
    </row>
    <row r="356" spans="2:4" ht="15" customHeight="1" x14ac:dyDescent="0.25">
      <c r="B356" s="1"/>
      <c r="C356" s="1"/>
      <c r="D356" s="1"/>
    </row>
    <row r="357" spans="2:4" ht="15" customHeight="1" x14ac:dyDescent="0.25">
      <c r="B357" s="1"/>
      <c r="C357" s="1"/>
      <c r="D357" s="1"/>
    </row>
    <row r="358" spans="2:4" ht="15" customHeight="1" x14ac:dyDescent="0.25">
      <c r="B358" s="1"/>
      <c r="C358" s="1"/>
      <c r="D358" s="1"/>
    </row>
    <row r="359" spans="2:4" ht="15" customHeight="1" x14ac:dyDescent="0.25">
      <c r="B359" s="1"/>
      <c r="C359" s="1"/>
      <c r="D359" s="1"/>
    </row>
    <row r="360" spans="2:4" ht="15" customHeight="1" x14ac:dyDescent="0.25">
      <c r="B360" s="1"/>
      <c r="C360" s="1"/>
      <c r="D360" s="1"/>
    </row>
    <row r="361" spans="2:4" ht="15" customHeight="1" x14ac:dyDescent="0.25">
      <c r="B361" s="1"/>
      <c r="C361" s="1"/>
      <c r="D361" s="1"/>
    </row>
    <row r="362" spans="2:4" ht="15" customHeight="1" x14ac:dyDescent="0.25">
      <c r="B362" s="1"/>
      <c r="C362" s="1"/>
      <c r="D362" s="1"/>
    </row>
    <row r="363" spans="2:4" ht="15" customHeight="1" x14ac:dyDescent="0.25">
      <c r="B363" s="1"/>
      <c r="C363" s="1"/>
      <c r="D363" s="1"/>
    </row>
    <row r="364" spans="2:4" ht="15" customHeight="1" x14ac:dyDescent="0.25">
      <c r="B364" s="1"/>
      <c r="C364" s="1"/>
      <c r="D364" s="1"/>
    </row>
    <row r="365" spans="2:4" ht="15" customHeight="1" x14ac:dyDescent="0.25">
      <c r="B365" s="1"/>
      <c r="C365" s="1"/>
      <c r="D365" s="1"/>
    </row>
    <row r="366" spans="2:4" ht="15" customHeight="1" x14ac:dyDescent="0.25">
      <c r="B366" s="1"/>
      <c r="C366" s="1"/>
      <c r="D366" s="1"/>
    </row>
    <row r="367" spans="2:4" ht="15" customHeight="1" x14ac:dyDescent="0.25">
      <c r="B367" s="1"/>
      <c r="C367" s="1"/>
      <c r="D367" s="1"/>
    </row>
    <row r="368" spans="2:4" ht="15" customHeight="1" x14ac:dyDescent="0.25">
      <c r="B368" s="1"/>
      <c r="C368" s="1"/>
      <c r="D368" s="1"/>
    </row>
    <row r="369" spans="2:4" ht="15" customHeight="1" x14ac:dyDescent="0.25">
      <c r="B369" s="1"/>
      <c r="C369" s="1"/>
      <c r="D369" s="1"/>
    </row>
    <row r="370" spans="2:4" ht="15" customHeight="1" x14ac:dyDescent="0.25">
      <c r="B370" s="1"/>
      <c r="C370" s="1"/>
      <c r="D370" s="1"/>
    </row>
    <row r="371" spans="2:4" ht="15" customHeight="1" x14ac:dyDescent="0.25">
      <c r="B371" s="1"/>
      <c r="C371" s="1"/>
      <c r="D371" s="1"/>
    </row>
    <row r="372" spans="2:4" ht="15" customHeight="1" x14ac:dyDescent="0.25">
      <c r="B372" s="1"/>
      <c r="C372" s="1"/>
      <c r="D372" s="1"/>
    </row>
    <row r="373" spans="2:4" ht="15" customHeight="1" x14ac:dyDescent="0.25">
      <c r="B373" s="1"/>
      <c r="C373" s="1"/>
      <c r="D373" s="1"/>
    </row>
    <row r="374" spans="2:4" ht="15" customHeight="1" x14ac:dyDescent="0.25">
      <c r="B374" s="1"/>
      <c r="C374" s="1"/>
      <c r="D374" s="1"/>
    </row>
    <row r="375" spans="2:4" ht="15" customHeight="1" x14ac:dyDescent="0.25">
      <c r="B375" s="1"/>
      <c r="C375" s="1"/>
      <c r="D375" s="1"/>
    </row>
    <row r="376" spans="2:4" ht="15" customHeight="1" x14ac:dyDescent="0.25">
      <c r="B376" s="1"/>
      <c r="C376" s="1"/>
      <c r="D376" s="1"/>
    </row>
    <row r="377" spans="2:4" ht="15" customHeight="1" x14ac:dyDescent="0.25">
      <c r="B377" s="1"/>
      <c r="C377" s="1"/>
      <c r="D377" s="1"/>
    </row>
    <row r="378" spans="2:4" ht="15" customHeight="1" x14ac:dyDescent="0.25">
      <c r="B378" s="1"/>
      <c r="C378" s="1"/>
      <c r="D378" s="1"/>
    </row>
    <row r="379" spans="2:4" ht="15" customHeight="1" x14ac:dyDescent="0.25">
      <c r="B379" s="1"/>
      <c r="C379" s="1"/>
      <c r="D379" s="1"/>
    </row>
    <row r="380" spans="2:4" ht="15" customHeight="1" x14ac:dyDescent="0.25">
      <c r="B380" s="1"/>
      <c r="C380" s="1"/>
      <c r="D380" s="1"/>
    </row>
    <row r="381" spans="2:4" ht="15" customHeight="1" x14ac:dyDescent="0.25">
      <c r="B381" s="1"/>
      <c r="C381" s="1"/>
      <c r="D381" s="1"/>
    </row>
    <row r="382" spans="2:4" ht="15" customHeight="1" x14ac:dyDescent="0.25">
      <c r="B382" s="1"/>
      <c r="C382" s="1"/>
      <c r="D382" s="1"/>
    </row>
    <row r="383" spans="2:4" ht="15" customHeight="1" x14ac:dyDescent="0.25">
      <c r="B383" s="1"/>
      <c r="C383" s="1"/>
      <c r="D383" s="1"/>
    </row>
    <row r="384" spans="2:4" ht="15" customHeight="1" x14ac:dyDescent="0.25">
      <c r="B384" s="1"/>
      <c r="C384" s="1"/>
      <c r="D384" s="1"/>
    </row>
    <row r="385" spans="2:4" ht="15" customHeight="1" x14ac:dyDescent="0.25">
      <c r="B385" s="1"/>
      <c r="C385" s="1"/>
      <c r="D385" s="1"/>
    </row>
    <row r="386" spans="2:4" ht="15" customHeight="1" x14ac:dyDescent="0.25">
      <c r="B386" s="1"/>
      <c r="C386" s="1"/>
      <c r="D386" s="1"/>
    </row>
    <row r="387" spans="2:4" ht="15" customHeight="1" x14ac:dyDescent="0.25">
      <c r="B387" s="1"/>
      <c r="C387" s="1"/>
      <c r="D387" s="1"/>
    </row>
    <row r="388" spans="2:4" ht="15" customHeight="1" x14ac:dyDescent="0.25">
      <c r="B388" s="1"/>
      <c r="C388" s="1"/>
      <c r="D388" s="1"/>
    </row>
    <row r="389" spans="2:4" ht="15" customHeight="1" x14ac:dyDescent="0.25">
      <c r="B389" s="1"/>
      <c r="C389" s="1"/>
      <c r="D389" s="1"/>
    </row>
    <row r="390" spans="2:4" ht="15" customHeight="1" x14ac:dyDescent="0.25">
      <c r="B390" s="1"/>
      <c r="C390" s="1"/>
      <c r="D390" s="1"/>
    </row>
    <row r="391" spans="2:4" ht="15" customHeight="1" x14ac:dyDescent="0.25">
      <c r="B391" s="1"/>
      <c r="C391" s="1"/>
      <c r="D391" s="1"/>
    </row>
    <row r="392" spans="2:4" ht="15" customHeight="1" x14ac:dyDescent="0.25">
      <c r="B392" s="1"/>
      <c r="C392" s="1"/>
      <c r="D392" s="1"/>
    </row>
    <row r="393" spans="2:4" ht="15" customHeight="1" x14ac:dyDescent="0.25">
      <c r="B393" s="1"/>
      <c r="C393" s="1"/>
      <c r="D393" s="1"/>
    </row>
    <row r="394" spans="2:4" ht="15" customHeight="1" x14ac:dyDescent="0.25">
      <c r="B394" s="1"/>
      <c r="C394" s="1"/>
      <c r="D394" s="1"/>
    </row>
    <row r="395" spans="2:4" ht="15" customHeight="1" x14ac:dyDescent="0.25">
      <c r="B395" s="1"/>
      <c r="C395" s="1"/>
      <c r="D395" s="1"/>
    </row>
    <row r="396" spans="2:4" ht="15" customHeight="1" x14ac:dyDescent="0.25">
      <c r="B396" s="1"/>
      <c r="C396" s="1"/>
      <c r="D396" s="1"/>
    </row>
    <row r="397" spans="2:4" ht="15" customHeight="1" x14ac:dyDescent="0.25">
      <c r="B397" s="1"/>
      <c r="C397" s="1"/>
      <c r="D397" s="1"/>
    </row>
    <row r="398" spans="2:4" ht="15" customHeight="1" x14ac:dyDescent="0.25">
      <c r="B398" s="1"/>
      <c r="C398" s="1"/>
      <c r="D398" s="1"/>
    </row>
    <row r="399" spans="2:4" ht="15" customHeight="1" x14ac:dyDescent="0.25">
      <c r="B399" s="1"/>
      <c r="C399" s="1"/>
      <c r="D399" s="1"/>
    </row>
    <row r="400" spans="2:4" ht="15" customHeight="1" x14ac:dyDescent="0.25">
      <c r="B400" s="1"/>
      <c r="C400" s="1"/>
      <c r="D400" s="1"/>
    </row>
    <row r="401" spans="2:4" ht="15" customHeight="1" x14ac:dyDescent="0.25">
      <c r="B401" s="1"/>
      <c r="C401" s="1"/>
      <c r="D401" s="1"/>
    </row>
    <row r="402" spans="2:4" ht="15" customHeight="1" x14ac:dyDescent="0.25">
      <c r="B402" s="1"/>
      <c r="C402" s="1"/>
      <c r="D402" s="1"/>
    </row>
    <row r="403" spans="2:4" ht="15" customHeight="1" x14ac:dyDescent="0.25">
      <c r="B403" s="1"/>
      <c r="C403" s="1"/>
      <c r="D403" s="1"/>
    </row>
    <row r="404" spans="2:4" ht="15" customHeight="1" x14ac:dyDescent="0.25">
      <c r="B404" s="1"/>
      <c r="C404" s="1"/>
      <c r="D404" s="1"/>
    </row>
    <row r="405" spans="2:4" ht="15" customHeight="1" x14ac:dyDescent="0.25">
      <c r="B405" s="1"/>
      <c r="C405" s="1"/>
      <c r="D405" s="1"/>
    </row>
    <row r="406" spans="2:4" ht="15" customHeight="1" x14ac:dyDescent="0.25">
      <c r="B406" s="1"/>
      <c r="C406" s="1"/>
      <c r="D406" s="1"/>
    </row>
    <row r="407" spans="2:4" ht="15" customHeight="1" x14ac:dyDescent="0.25">
      <c r="B407" s="1"/>
      <c r="C407" s="1"/>
      <c r="D407" s="1"/>
    </row>
    <row r="408" spans="2:4" ht="15" customHeight="1" x14ac:dyDescent="0.25">
      <c r="B408" s="1"/>
      <c r="C408" s="1"/>
      <c r="D408" s="1"/>
    </row>
    <row r="409" spans="2:4" ht="15" customHeight="1" x14ac:dyDescent="0.25">
      <c r="B409" s="1"/>
      <c r="C409" s="1"/>
      <c r="D409" s="1"/>
    </row>
    <row r="410" spans="2:4" ht="15" customHeight="1" x14ac:dyDescent="0.25">
      <c r="B410" s="1"/>
      <c r="C410" s="1"/>
      <c r="D410" s="1"/>
    </row>
    <row r="411" spans="2:4" ht="15" customHeight="1" x14ac:dyDescent="0.25">
      <c r="B411" s="1"/>
      <c r="C411" s="1"/>
      <c r="D411" s="1"/>
    </row>
    <row r="412" spans="2:4" ht="15" customHeight="1" x14ac:dyDescent="0.25">
      <c r="B412" s="1"/>
      <c r="C412" s="1"/>
      <c r="D412" s="1"/>
    </row>
    <row r="413" spans="2:4" ht="15" customHeight="1" x14ac:dyDescent="0.25">
      <c r="B413" s="1"/>
      <c r="C413" s="1"/>
      <c r="D413" s="1"/>
    </row>
    <row r="414" spans="2:4" ht="15" customHeight="1" x14ac:dyDescent="0.25">
      <c r="B414" s="1"/>
      <c r="C414" s="1"/>
      <c r="D414" s="1"/>
    </row>
    <row r="415" spans="2:4" ht="15" customHeight="1" x14ac:dyDescent="0.25">
      <c r="B415" s="1"/>
      <c r="C415" s="1"/>
      <c r="D415" s="1"/>
    </row>
    <row r="416" spans="2:4" ht="15" customHeight="1" x14ac:dyDescent="0.25">
      <c r="B416" s="1"/>
      <c r="C416" s="1"/>
      <c r="D416" s="1"/>
    </row>
    <row r="417" spans="2:4" ht="15" customHeight="1" x14ac:dyDescent="0.25">
      <c r="B417" s="1"/>
      <c r="C417" s="1"/>
      <c r="D417" s="1"/>
    </row>
    <row r="418" spans="2:4" ht="15" customHeight="1" x14ac:dyDescent="0.25">
      <c r="B418" s="1"/>
      <c r="C418" s="1"/>
      <c r="D418" s="1"/>
    </row>
    <row r="419" spans="2:4" ht="15" customHeight="1" x14ac:dyDescent="0.25">
      <c r="B419" s="1"/>
      <c r="C419" s="1"/>
      <c r="D419" s="1"/>
    </row>
    <row r="420" spans="2:4" ht="15" customHeight="1" x14ac:dyDescent="0.25">
      <c r="B420" s="1"/>
      <c r="C420" s="1"/>
      <c r="D420" s="1"/>
    </row>
    <row r="421" spans="2:4" ht="15" customHeight="1" x14ac:dyDescent="0.25">
      <c r="B421" s="1"/>
      <c r="C421" s="1"/>
      <c r="D421" s="1"/>
    </row>
    <row r="422" spans="2:4" ht="15" customHeight="1" x14ac:dyDescent="0.25">
      <c r="B422" s="1"/>
      <c r="C422" s="1"/>
      <c r="D422" s="1"/>
    </row>
    <row r="423" spans="2:4" ht="15" customHeight="1" x14ac:dyDescent="0.25">
      <c r="B423" s="1"/>
      <c r="C423" s="1"/>
      <c r="D423" s="1"/>
    </row>
    <row r="424" spans="2:4" ht="15" customHeight="1" x14ac:dyDescent="0.25">
      <c r="B424" s="1"/>
      <c r="C424" s="1"/>
      <c r="D424" s="1"/>
    </row>
    <row r="425" spans="2:4" ht="15" customHeight="1" x14ac:dyDescent="0.25">
      <c r="B425" s="1"/>
      <c r="C425" s="1"/>
      <c r="D425" s="1"/>
    </row>
    <row r="426" spans="2:4" ht="15" customHeight="1" x14ac:dyDescent="0.25">
      <c r="B426" s="1"/>
      <c r="C426" s="1"/>
      <c r="D426" s="1"/>
    </row>
    <row r="427" spans="2:4" ht="15" customHeight="1" x14ac:dyDescent="0.25">
      <c r="B427" s="1"/>
      <c r="C427" s="1"/>
      <c r="D427" s="1"/>
    </row>
    <row r="428" spans="2:4" ht="15" customHeight="1" x14ac:dyDescent="0.25">
      <c r="B428" s="1"/>
      <c r="C428" s="1"/>
      <c r="D428" s="1"/>
    </row>
    <row r="429" spans="2:4" ht="15" customHeight="1" x14ac:dyDescent="0.25">
      <c r="B429" s="1"/>
      <c r="C429" s="1"/>
      <c r="D429" s="1"/>
    </row>
    <row r="430" spans="2:4" ht="15" customHeight="1" x14ac:dyDescent="0.25">
      <c r="B430" s="1"/>
      <c r="C430" s="1"/>
      <c r="D430" s="1"/>
    </row>
    <row r="431" spans="2:4" ht="15" customHeight="1" x14ac:dyDescent="0.25">
      <c r="B431" s="1"/>
      <c r="C431" s="1"/>
      <c r="D431" s="1"/>
    </row>
    <row r="432" spans="2:4" ht="15" customHeight="1" x14ac:dyDescent="0.25">
      <c r="B432" s="1"/>
      <c r="C432" s="1"/>
      <c r="D432" s="1"/>
    </row>
    <row r="433" spans="2:4" ht="15" customHeight="1" x14ac:dyDescent="0.25">
      <c r="B433" s="1"/>
      <c r="C433" s="1"/>
      <c r="D433" s="1"/>
    </row>
    <row r="434" spans="2:4" ht="15" customHeight="1" x14ac:dyDescent="0.25">
      <c r="B434" s="1"/>
      <c r="C434" s="1"/>
      <c r="D434" s="1"/>
    </row>
    <row r="435" spans="2:4" ht="15" customHeight="1" x14ac:dyDescent="0.25">
      <c r="B435" s="1"/>
      <c r="C435" s="1"/>
      <c r="D435" s="1"/>
    </row>
    <row r="436" spans="2:4" ht="15" customHeight="1" x14ac:dyDescent="0.25">
      <c r="B436" s="1"/>
      <c r="C436" s="1"/>
      <c r="D436" s="1"/>
    </row>
    <row r="437" spans="2:4" ht="15" customHeight="1" x14ac:dyDescent="0.25">
      <c r="B437" s="1"/>
      <c r="C437" s="1"/>
      <c r="D437" s="1"/>
    </row>
    <row r="438" spans="2:4" ht="15" customHeight="1" x14ac:dyDescent="0.25">
      <c r="B438" s="1"/>
      <c r="C438" s="1"/>
      <c r="D438" s="1"/>
    </row>
    <row r="439" spans="2:4" ht="15" customHeight="1" x14ac:dyDescent="0.25">
      <c r="B439" s="1"/>
      <c r="C439" s="1"/>
      <c r="D439" s="1"/>
    </row>
    <row r="440" spans="2:4" ht="15" customHeight="1" x14ac:dyDescent="0.25">
      <c r="B440" s="1"/>
      <c r="C440" s="1"/>
      <c r="D440" s="1"/>
    </row>
    <row r="441" spans="2:4" ht="15" customHeight="1" x14ac:dyDescent="0.25">
      <c r="B441" s="1"/>
      <c r="C441" s="1"/>
      <c r="D441" s="1"/>
    </row>
    <row r="442" spans="2:4" ht="15" customHeight="1" x14ac:dyDescent="0.25">
      <c r="B442" s="1"/>
      <c r="C442" s="1"/>
      <c r="D442" s="1"/>
    </row>
    <row r="443" spans="2:4" ht="15" customHeight="1" x14ac:dyDescent="0.25">
      <c r="B443" s="1"/>
      <c r="C443" s="1"/>
      <c r="D443" s="1"/>
    </row>
    <row r="444" spans="2:4" ht="15" customHeight="1" x14ac:dyDescent="0.25">
      <c r="B444" s="1"/>
      <c r="C444" s="1"/>
      <c r="D444" s="1"/>
    </row>
    <row r="445" spans="2:4" ht="15" customHeight="1" x14ac:dyDescent="0.25">
      <c r="B445" s="1"/>
      <c r="C445" s="1"/>
      <c r="D445" s="1"/>
    </row>
    <row r="446" spans="2:4" ht="15" customHeight="1" x14ac:dyDescent="0.25">
      <c r="B446" s="1"/>
      <c r="C446" s="1"/>
      <c r="D446" s="1"/>
    </row>
    <row r="447" spans="2:4" ht="15" customHeight="1" x14ac:dyDescent="0.25">
      <c r="B447" s="1"/>
      <c r="C447" s="1"/>
      <c r="D447" s="1"/>
    </row>
    <row r="448" spans="2:4" ht="15" customHeight="1" x14ac:dyDescent="0.25">
      <c r="B448" s="1"/>
      <c r="C448" s="1"/>
      <c r="D448" s="1"/>
    </row>
    <row r="449" spans="2:4" ht="15" customHeight="1" x14ac:dyDescent="0.25">
      <c r="B449" s="1"/>
      <c r="C449" s="1"/>
      <c r="D449" s="1"/>
    </row>
    <row r="450" spans="2:4" ht="15" customHeight="1" x14ac:dyDescent="0.25">
      <c r="B450" s="1"/>
      <c r="C450" s="1"/>
      <c r="D450" s="1"/>
    </row>
    <row r="451" spans="2:4" ht="15" customHeight="1" x14ac:dyDescent="0.25">
      <c r="B451" s="1"/>
      <c r="C451" s="1"/>
      <c r="D451" s="1"/>
    </row>
    <row r="452" spans="2:4" ht="15" customHeight="1" x14ac:dyDescent="0.25">
      <c r="B452" s="1"/>
      <c r="C452" s="1"/>
      <c r="D452" s="1"/>
    </row>
    <row r="453" spans="2:4" ht="15" customHeight="1" x14ac:dyDescent="0.25">
      <c r="B453" s="1"/>
      <c r="C453" s="1"/>
      <c r="D453" s="1"/>
    </row>
    <row r="454" spans="2:4" ht="15" customHeight="1" x14ac:dyDescent="0.25">
      <c r="B454" s="1"/>
      <c r="C454" s="1"/>
      <c r="D454" s="1"/>
    </row>
    <row r="455" spans="2:4" ht="15" customHeight="1" x14ac:dyDescent="0.25">
      <c r="B455" s="1"/>
      <c r="C455" s="1"/>
      <c r="D455" s="1"/>
    </row>
    <row r="456" spans="2:4" ht="15" customHeight="1" x14ac:dyDescent="0.25">
      <c r="B456" s="1"/>
      <c r="C456" s="1"/>
      <c r="D456" s="1"/>
    </row>
    <row r="457" spans="2:4" ht="15" customHeight="1" x14ac:dyDescent="0.25">
      <c r="B457" s="1"/>
      <c r="C457" s="1"/>
      <c r="D457" s="1"/>
    </row>
    <row r="458" spans="2:4" ht="15" customHeight="1" x14ac:dyDescent="0.25">
      <c r="B458" s="1"/>
      <c r="C458" s="1"/>
      <c r="D458" s="1"/>
    </row>
    <row r="459" spans="2:4" ht="15" customHeight="1" x14ac:dyDescent="0.25">
      <c r="B459" s="1"/>
      <c r="C459" s="1"/>
      <c r="D459" s="1"/>
    </row>
    <row r="460" spans="2:4" ht="15" customHeight="1" x14ac:dyDescent="0.25">
      <c r="B460" s="1"/>
      <c r="C460" s="1"/>
      <c r="D460" s="1"/>
    </row>
    <row r="461" spans="2:4" ht="15" customHeight="1" x14ac:dyDescent="0.25">
      <c r="B461" s="1"/>
      <c r="C461" s="1"/>
      <c r="D461" s="1"/>
    </row>
    <row r="462" spans="2:4" ht="15" customHeight="1" x14ac:dyDescent="0.25">
      <c r="B462" s="1"/>
      <c r="C462" s="1"/>
      <c r="D462" s="1"/>
    </row>
    <row r="463" spans="2:4" ht="15" customHeight="1" x14ac:dyDescent="0.25">
      <c r="B463" s="1"/>
      <c r="C463" s="1"/>
      <c r="D463" s="1"/>
    </row>
    <row r="464" spans="2:4" ht="15" customHeight="1" x14ac:dyDescent="0.25">
      <c r="B464" s="1"/>
      <c r="C464" s="1"/>
      <c r="D464" s="1"/>
    </row>
    <row r="465" spans="2:4" ht="15" customHeight="1" x14ac:dyDescent="0.25">
      <c r="B465" s="1"/>
      <c r="C465" s="1"/>
      <c r="D465" s="1"/>
    </row>
    <row r="466" spans="2:4" ht="15" customHeight="1" x14ac:dyDescent="0.25">
      <c r="B466" s="1"/>
      <c r="C466" s="1"/>
      <c r="D466" s="1"/>
    </row>
    <row r="467" spans="2:4" ht="15" customHeight="1" x14ac:dyDescent="0.25">
      <c r="B467" s="1"/>
      <c r="C467" s="1"/>
      <c r="D467" s="1"/>
    </row>
    <row r="468" spans="2:4" ht="15" customHeight="1" x14ac:dyDescent="0.25">
      <c r="B468" s="1"/>
      <c r="C468" s="1"/>
      <c r="D468" s="1"/>
    </row>
    <row r="469" spans="2:4" ht="15" customHeight="1" x14ac:dyDescent="0.25">
      <c r="B469" s="1"/>
      <c r="C469" s="1"/>
      <c r="D469" s="1"/>
    </row>
    <row r="470" spans="2:4" ht="15" customHeight="1" x14ac:dyDescent="0.25">
      <c r="B470" s="1"/>
      <c r="C470" s="1"/>
      <c r="D470" s="1"/>
    </row>
    <row r="471" spans="2:4" ht="15" customHeight="1" x14ac:dyDescent="0.25">
      <c r="B471" s="1"/>
      <c r="C471" s="1"/>
      <c r="D471" s="1"/>
    </row>
    <row r="472" spans="2:4" ht="15" customHeight="1" x14ac:dyDescent="0.25">
      <c r="B472" s="1"/>
      <c r="C472" s="1"/>
      <c r="D472" s="1"/>
    </row>
    <row r="473" spans="2:4" ht="15" customHeight="1" x14ac:dyDescent="0.25">
      <c r="B473" s="1"/>
      <c r="C473" s="1"/>
      <c r="D473" s="1"/>
    </row>
    <row r="474" spans="2:4" ht="15" customHeight="1" x14ac:dyDescent="0.25">
      <c r="B474" s="1"/>
      <c r="C474" s="1"/>
      <c r="D474" s="1"/>
    </row>
  </sheetData>
  <mergeCells count="220">
    <mergeCell ref="B40:F40"/>
    <mergeCell ref="G28:J28"/>
    <mergeCell ref="T16:U16"/>
    <mergeCell ref="K22:N22"/>
    <mergeCell ref="W22:Z22"/>
    <mergeCell ref="AA20:AD20"/>
    <mergeCell ref="G30:J30"/>
    <mergeCell ref="J31:L31"/>
    <mergeCell ref="S25:V25"/>
    <mergeCell ref="R31:U31"/>
    <mergeCell ref="W30:Z30"/>
    <mergeCell ref="C33:K33"/>
    <mergeCell ref="B39:F39"/>
    <mergeCell ref="AA30:AD30"/>
    <mergeCell ref="O29:R29"/>
    <mergeCell ref="R33:Z33"/>
    <mergeCell ref="O33:Q33"/>
    <mergeCell ref="V31:Y31"/>
    <mergeCell ref="W28:Z28"/>
    <mergeCell ref="C24:F24"/>
    <mergeCell ref="C26:F26"/>
    <mergeCell ref="L6:N6"/>
    <mergeCell ref="O24:R24"/>
    <mergeCell ref="AE25:AH25"/>
    <mergeCell ref="O18:R18"/>
    <mergeCell ref="G27:J27"/>
    <mergeCell ref="AI19:AL19"/>
    <mergeCell ref="S18:V18"/>
    <mergeCell ref="S27:V27"/>
    <mergeCell ref="G17:J17"/>
    <mergeCell ref="P16:Q16"/>
    <mergeCell ref="AE18:AH18"/>
    <mergeCell ref="S17:V17"/>
    <mergeCell ref="K20:N20"/>
    <mergeCell ref="W12:Z12"/>
    <mergeCell ref="G13:J13"/>
    <mergeCell ref="S13:V13"/>
    <mergeCell ref="AE13:AH13"/>
    <mergeCell ref="G18:J18"/>
    <mergeCell ref="AI27:AL27"/>
    <mergeCell ref="AA26:AD26"/>
    <mergeCell ref="AE17:AH17"/>
    <mergeCell ref="G22:J22"/>
    <mergeCell ref="K13:N13"/>
    <mergeCell ref="W20:Z20"/>
    <mergeCell ref="K23:N23"/>
    <mergeCell ref="C23:F23"/>
    <mergeCell ref="AA21:AD21"/>
    <mergeCell ref="AE15:AH15"/>
    <mergeCell ref="AE24:AH24"/>
    <mergeCell ref="AA23:AD23"/>
    <mergeCell ref="AA17:AD17"/>
    <mergeCell ref="K25:N25"/>
    <mergeCell ref="L9:Q9"/>
    <mergeCell ref="C25:F25"/>
    <mergeCell ref="G19:J19"/>
    <mergeCell ref="B4:Z4"/>
    <mergeCell ref="K30:N30"/>
    <mergeCell ref="G11:J11"/>
    <mergeCell ref="W25:Z25"/>
    <mergeCell ref="O28:R28"/>
    <mergeCell ref="C31:D31"/>
    <mergeCell ref="E31:F31"/>
    <mergeCell ref="AA19:AD19"/>
    <mergeCell ref="AI28:AL28"/>
    <mergeCell ref="AA28:AD28"/>
    <mergeCell ref="AE22:AH22"/>
    <mergeCell ref="H16:I16"/>
    <mergeCell ref="C20:F20"/>
    <mergeCell ref="L10:M10"/>
    <mergeCell ref="K29:N29"/>
    <mergeCell ref="O30:R30"/>
    <mergeCell ref="C30:F30"/>
    <mergeCell ref="G21:J21"/>
    <mergeCell ref="AI29:AL29"/>
    <mergeCell ref="AE28:AH28"/>
    <mergeCell ref="G14:J14"/>
    <mergeCell ref="C29:F29"/>
    <mergeCell ref="AI30:AL30"/>
    <mergeCell ref="G31:I31"/>
    <mergeCell ref="B8:F8"/>
    <mergeCell ref="K15:N15"/>
    <mergeCell ref="P10:S10"/>
    <mergeCell ref="C14:F14"/>
    <mergeCell ref="AM14:AP14"/>
    <mergeCell ref="AM28:AP28"/>
    <mergeCell ref="AA13:AD13"/>
    <mergeCell ref="G23:J23"/>
    <mergeCell ref="K21:N21"/>
    <mergeCell ref="AE21:AH21"/>
    <mergeCell ref="AI15:AL15"/>
    <mergeCell ref="AA15:AD15"/>
    <mergeCell ref="AI24:AL24"/>
    <mergeCell ref="S23:V23"/>
    <mergeCell ref="B9:F9"/>
    <mergeCell ref="AE23:AH23"/>
    <mergeCell ref="AI26:AL26"/>
    <mergeCell ref="O21:R21"/>
    <mergeCell ref="G24:J24"/>
    <mergeCell ref="W26:Z26"/>
    <mergeCell ref="AA24:AD24"/>
    <mergeCell ref="G10:J10"/>
    <mergeCell ref="AM24:AP24"/>
    <mergeCell ref="O26:R26"/>
    <mergeCell ref="B66:J66"/>
    <mergeCell ref="V6:Y6"/>
    <mergeCell ref="O25:R25"/>
    <mergeCell ref="AI20:AL20"/>
    <mergeCell ref="S19:V19"/>
    <mergeCell ref="AI25:AL25"/>
    <mergeCell ref="C27:F27"/>
    <mergeCell ref="AA25:AD25"/>
    <mergeCell ref="G9:K9"/>
    <mergeCell ref="AE19:AH19"/>
    <mergeCell ref="O27:R27"/>
    <mergeCell ref="C17:F17"/>
    <mergeCell ref="L16:M16"/>
    <mergeCell ref="AA18:AD18"/>
    <mergeCell ref="B35:Z38"/>
    <mergeCell ref="O17:R17"/>
    <mergeCell ref="G20:J20"/>
    <mergeCell ref="S30:V30"/>
    <mergeCell ref="G29:J29"/>
    <mergeCell ref="S20:V20"/>
    <mergeCell ref="C19:F19"/>
    <mergeCell ref="C12:E12"/>
    <mergeCell ref="C28:F28"/>
    <mergeCell ref="W14:Z14"/>
    <mergeCell ref="O6:R6"/>
    <mergeCell ref="W15:Z15"/>
    <mergeCell ref="AM29:AP29"/>
    <mergeCell ref="O15:R15"/>
    <mergeCell ref="AM23:AP23"/>
    <mergeCell ref="W24:Z24"/>
    <mergeCell ref="M12:Q12"/>
    <mergeCell ref="AM13:AP13"/>
    <mergeCell ref="AA27:AD27"/>
    <mergeCell ref="K26:N26"/>
    <mergeCell ref="R9:V9"/>
    <mergeCell ref="R8:V8"/>
    <mergeCell ref="W9:Z9"/>
    <mergeCell ref="T10:U10"/>
    <mergeCell ref="AA22:AD22"/>
    <mergeCell ref="M11:Q11"/>
    <mergeCell ref="S22:V22"/>
    <mergeCell ref="S24:V24"/>
    <mergeCell ref="K27:N27"/>
    <mergeCell ref="W18:Z18"/>
    <mergeCell ref="W27:Z27"/>
    <mergeCell ref="AM17:AP17"/>
    <mergeCell ref="AE20:AH20"/>
    <mergeCell ref="O19:R19"/>
    <mergeCell ref="H6:J6"/>
    <mergeCell ref="C10:E10"/>
    <mergeCell ref="G26:J26"/>
    <mergeCell ref="K17:N17"/>
    <mergeCell ref="W8:Z8"/>
    <mergeCell ref="AI18:AL18"/>
    <mergeCell ref="W17:Z17"/>
    <mergeCell ref="AM25:AP25"/>
    <mergeCell ref="G25:J25"/>
    <mergeCell ref="G8:K8"/>
    <mergeCell ref="K19:N19"/>
    <mergeCell ref="C13:F13"/>
    <mergeCell ref="O23:R23"/>
    <mergeCell ref="S6:U6"/>
    <mergeCell ref="AI14:AL14"/>
    <mergeCell ref="AA14:AD14"/>
    <mergeCell ref="W13:Z13"/>
    <mergeCell ref="AI23:AL23"/>
    <mergeCell ref="O13:R13"/>
    <mergeCell ref="V10:Z10"/>
    <mergeCell ref="AI13:AL13"/>
    <mergeCell ref="C6:F6"/>
    <mergeCell ref="C15:F15"/>
    <mergeCell ref="S21:V21"/>
    <mergeCell ref="C18:F18"/>
    <mergeCell ref="C11:E11"/>
    <mergeCell ref="X16:Y16"/>
    <mergeCell ref="W19:Z19"/>
    <mergeCell ref="N10:O10"/>
    <mergeCell ref="K18:N18"/>
    <mergeCell ref="AI17:AL17"/>
    <mergeCell ref="D16:E16"/>
    <mergeCell ref="AI22:AL22"/>
    <mergeCell ref="K14:N14"/>
    <mergeCell ref="G12:J12"/>
    <mergeCell ref="O20:R20"/>
    <mergeCell ref="S14:V14"/>
    <mergeCell ref="C22:F22"/>
    <mergeCell ref="AE14:AH14"/>
    <mergeCell ref="O22:R22"/>
    <mergeCell ref="C21:F21"/>
    <mergeCell ref="G15:J15"/>
    <mergeCell ref="W21:Z21"/>
    <mergeCell ref="S15:V15"/>
    <mergeCell ref="AE30:AH30"/>
    <mergeCell ref="AI21:AL21"/>
    <mergeCell ref="S29:V29"/>
    <mergeCell ref="L8:Q8"/>
    <mergeCell ref="AM15:AP15"/>
    <mergeCell ref="W29:Z29"/>
    <mergeCell ref="O14:R14"/>
    <mergeCell ref="W23:Z23"/>
    <mergeCell ref="AM26:AP26"/>
    <mergeCell ref="AA29:AD29"/>
    <mergeCell ref="K24:N24"/>
    <mergeCell ref="K28:N28"/>
    <mergeCell ref="AE27:AH27"/>
    <mergeCell ref="AM18:AP18"/>
    <mergeCell ref="AM30:AP30"/>
    <mergeCell ref="AM21:AP21"/>
    <mergeCell ref="S26:V26"/>
    <mergeCell ref="AM27:AP27"/>
    <mergeCell ref="AE26:AH26"/>
    <mergeCell ref="AM20:AP20"/>
    <mergeCell ref="AM22:AP22"/>
    <mergeCell ref="AM19:AP19"/>
    <mergeCell ref="S28:V28"/>
    <mergeCell ref="AE29:AH29"/>
  </mergeCells>
  <printOptions horizontalCentered="1"/>
  <pageMargins left="0.25" right="0.25" top="0.25" bottom="0.25" header="0.511811023622047" footer="0.511811023622047"/>
  <pageSetup orientation="landscape" horizontalDpi="300" verticalDpi="300"/>
  <rowBreaks count="2" manualBreakCount="2">
    <brk id="7" max="16383" man="1"/>
    <brk id="44" max="16383" man="1"/>
  </rowBreaks>
  <colBreaks count="1" manualBreakCount="1">
    <brk id="26" max="1048575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BK474"/>
  <sheetViews>
    <sheetView showGridLines="0" zoomScaleNormal="100" workbookViewId="0">
      <selection activeCell="AF9" sqref="AF9"/>
    </sheetView>
  </sheetViews>
  <sheetFormatPr defaultColWidth="9" defaultRowHeight="13.2" x14ac:dyDescent="0.25"/>
  <cols>
    <col min="1" max="1" width="3.6640625" customWidth="1"/>
    <col min="2" max="2" width="16.44140625" customWidth="1"/>
    <col min="3" max="3" width="5.6640625" customWidth="1"/>
    <col min="4" max="4" width="4.88671875" customWidth="1"/>
    <col min="5" max="5" width="4.5546875" customWidth="1"/>
    <col min="6" max="6" width="7.88671875" customWidth="1"/>
    <col min="7" max="7" width="5.6640625" customWidth="1"/>
    <col min="8" max="8" width="6.44140625" customWidth="1"/>
    <col min="9" max="26" width="5.6640625" customWidth="1"/>
    <col min="27" max="34" width="5.88671875" customWidth="1"/>
    <col min="35" max="38" width="5.5546875" customWidth="1"/>
    <col min="39" max="42" width="5.6640625" customWidth="1"/>
    <col min="62" max="63" width="15.109375" customWidth="1"/>
  </cols>
  <sheetData>
    <row r="1" spans="2:63" ht="12.75" customHeight="1" x14ac:dyDescent="0.25">
      <c r="B1" s="82"/>
      <c r="C1" s="82"/>
      <c r="D1" s="82"/>
      <c r="E1" s="82"/>
      <c r="F1" s="82"/>
      <c r="G1" s="82"/>
    </row>
    <row r="2" spans="2:63" ht="12.75" customHeight="1" x14ac:dyDescent="0.25">
      <c r="B2" s="82"/>
      <c r="C2" s="82"/>
      <c r="D2" s="82"/>
      <c r="E2" s="82"/>
      <c r="F2" s="82"/>
      <c r="G2" s="82"/>
    </row>
    <row r="3" spans="2:63" ht="12.75" customHeight="1" x14ac:dyDescent="0.25">
      <c r="B3" s="82"/>
      <c r="C3" s="82"/>
      <c r="D3" s="82"/>
      <c r="E3" s="82"/>
      <c r="F3" s="82"/>
      <c r="G3" s="82"/>
    </row>
    <row r="4" spans="2:63" ht="17.25" customHeight="1" x14ac:dyDescent="0.3">
      <c r="B4" s="82"/>
      <c r="C4" s="82"/>
      <c r="D4" s="82"/>
      <c r="E4" s="82"/>
      <c r="F4" s="82"/>
      <c r="G4" s="82"/>
      <c r="H4" s="49"/>
      <c r="I4" s="210" t="s">
        <v>0</v>
      </c>
      <c r="J4" s="82"/>
      <c r="K4" s="82"/>
      <c r="L4" s="82"/>
      <c r="M4" s="82"/>
      <c r="N4" s="82"/>
      <c r="O4" s="82"/>
      <c r="P4" s="82"/>
      <c r="Q4" s="82"/>
      <c r="R4" s="49"/>
      <c r="S4" s="49"/>
      <c r="T4" s="49"/>
      <c r="U4" s="49"/>
      <c r="V4" s="49"/>
      <c r="W4" s="49"/>
      <c r="X4" s="49"/>
      <c r="Y4" s="49"/>
      <c r="Z4" s="49"/>
      <c r="BC4" s="1"/>
    </row>
    <row r="5" spans="2:63" ht="20.25" customHeight="1" x14ac:dyDescent="0.25">
      <c r="B5" s="82"/>
      <c r="C5" s="82"/>
      <c r="D5" s="82"/>
      <c r="E5" s="82"/>
      <c r="F5" s="82"/>
      <c r="G5" s="82"/>
    </row>
    <row r="6" spans="2:63" ht="21" customHeight="1" x14ac:dyDescent="0.25">
      <c r="B6" s="2" t="s">
        <v>1</v>
      </c>
      <c r="C6" s="184"/>
      <c r="D6" s="130"/>
      <c r="E6" s="130"/>
      <c r="F6" s="130"/>
      <c r="G6" s="3"/>
      <c r="H6" s="3"/>
      <c r="I6" s="3"/>
      <c r="J6" s="3"/>
      <c r="K6" s="191" t="s">
        <v>2</v>
      </c>
      <c r="L6" s="84"/>
      <c r="M6" s="84"/>
      <c r="N6" s="84"/>
      <c r="O6" s="194"/>
      <c r="P6" s="130"/>
      <c r="Q6" s="130"/>
      <c r="R6" s="130"/>
    </row>
    <row r="7" spans="2:63" ht="13.5" customHeight="1" x14ac:dyDescent="0.25">
      <c r="BH7" s="1"/>
      <c r="BI7" s="1"/>
      <c r="BJ7" s="1"/>
      <c r="BK7" s="1" t="s">
        <v>3</v>
      </c>
    </row>
    <row r="8" spans="2:63" ht="13.5" customHeight="1" x14ac:dyDescent="0.25">
      <c r="B8" s="50" t="s">
        <v>4</v>
      </c>
      <c r="C8" s="51"/>
      <c r="D8" s="51"/>
      <c r="E8" s="51"/>
      <c r="F8" s="52"/>
      <c r="G8" s="50" t="s">
        <v>101</v>
      </c>
      <c r="H8" s="51"/>
      <c r="I8" s="51"/>
      <c r="J8" s="51"/>
      <c r="K8" s="52"/>
      <c r="L8" s="8" t="s">
        <v>6</v>
      </c>
      <c r="M8" s="7"/>
      <c r="N8" s="9"/>
      <c r="O8" s="9"/>
      <c r="P8" s="9"/>
      <c r="Q8" s="9"/>
      <c r="R8" s="50" t="s">
        <v>7</v>
      </c>
      <c r="S8" s="51"/>
      <c r="T8" s="51"/>
      <c r="U8" s="51"/>
      <c r="V8" s="52"/>
      <c r="W8" s="53" t="s">
        <v>8</v>
      </c>
      <c r="X8" s="54"/>
      <c r="Y8" s="55"/>
      <c r="Z8" s="56"/>
      <c r="BG8" s="1"/>
      <c r="BH8" s="1"/>
      <c r="BI8" s="1"/>
      <c r="BJ8" s="1" t="s">
        <v>9</v>
      </c>
      <c r="BK8" s="1" t="s">
        <v>10</v>
      </c>
    </row>
    <row r="9" spans="2:63" ht="21" customHeight="1" x14ac:dyDescent="0.25">
      <c r="B9" s="187"/>
      <c r="C9" s="130"/>
      <c r="D9" s="130"/>
      <c r="E9" s="130"/>
      <c r="F9" s="136"/>
      <c r="G9" s="187"/>
      <c r="H9" s="130"/>
      <c r="I9" s="130"/>
      <c r="J9" s="130"/>
      <c r="K9" s="136"/>
      <c r="L9" s="187"/>
      <c r="M9" s="130"/>
      <c r="N9" s="130"/>
      <c r="O9" s="130"/>
      <c r="P9" s="130"/>
      <c r="Q9" s="136"/>
      <c r="R9" s="188"/>
      <c r="S9" s="130"/>
      <c r="T9" s="130"/>
      <c r="U9" s="130"/>
      <c r="V9" s="136"/>
      <c r="W9" s="193"/>
      <c r="X9" s="130"/>
      <c r="Y9" s="130"/>
      <c r="Z9" s="136"/>
      <c r="BJ9" s="1">
        <v>-20</v>
      </c>
      <c r="BK9" s="1">
        <v>0.99900999999999995</v>
      </c>
    </row>
    <row r="10" spans="2:63" ht="21" customHeight="1" x14ac:dyDescent="0.25">
      <c r="B10" s="57" t="s">
        <v>11</v>
      </c>
      <c r="C10" s="189"/>
      <c r="D10" s="86"/>
      <c r="E10" s="91"/>
      <c r="F10" s="57" t="s">
        <v>12</v>
      </c>
      <c r="G10" s="58"/>
      <c r="H10" s="189"/>
      <c r="I10" s="86"/>
      <c r="J10" s="91"/>
      <c r="K10" s="57" t="s">
        <v>13</v>
      </c>
      <c r="L10" s="59"/>
      <c r="M10" s="59"/>
      <c r="N10" s="57"/>
      <c r="O10" s="58"/>
      <c r="P10" s="189"/>
      <c r="Q10" s="86"/>
      <c r="R10" s="86"/>
      <c r="S10" s="91"/>
      <c r="T10" s="57" t="s">
        <v>14</v>
      </c>
      <c r="U10" s="58"/>
      <c r="V10" s="59"/>
      <c r="W10" s="209"/>
      <c r="X10" s="86"/>
      <c r="Y10" s="86"/>
      <c r="Z10" s="91"/>
      <c r="BJ10" s="1">
        <v>-19</v>
      </c>
      <c r="BK10" s="1">
        <v>0.99902000000000002</v>
      </c>
    </row>
    <row r="11" spans="2:63" ht="13.5" customHeight="1" x14ac:dyDescent="0.25">
      <c r="B11" s="6" t="s">
        <v>15</v>
      </c>
      <c r="C11" s="60"/>
      <c r="D11" s="60"/>
      <c r="E11" s="60"/>
      <c r="F11" s="6" t="s">
        <v>16</v>
      </c>
      <c r="G11" s="60"/>
      <c r="H11" s="60"/>
      <c r="I11" s="60"/>
      <c r="J11" s="61"/>
      <c r="K11" s="6" t="s">
        <v>17</v>
      </c>
      <c r="L11" s="7"/>
      <c r="M11" s="7"/>
      <c r="N11" s="60"/>
      <c r="O11" s="7"/>
      <c r="P11" s="7"/>
      <c r="Q11" s="7"/>
      <c r="R11" s="6" t="s">
        <v>18</v>
      </c>
      <c r="S11" s="8"/>
      <c r="T11" s="8"/>
      <c r="U11" s="7"/>
      <c r="V11" s="7"/>
      <c r="W11" s="6" t="s">
        <v>19</v>
      </c>
      <c r="X11" s="7"/>
      <c r="Y11" s="9"/>
      <c r="Z11" s="10"/>
      <c r="BJ11" s="1">
        <v>-18</v>
      </c>
      <c r="BK11" s="1">
        <v>0.99902999999999997</v>
      </c>
    </row>
    <row r="12" spans="2:63" ht="21" customHeight="1" x14ac:dyDescent="0.25">
      <c r="B12" s="12" t="s">
        <v>20</v>
      </c>
      <c r="C12" s="132"/>
      <c r="D12" s="133"/>
      <c r="E12" s="134"/>
      <c r="F12" s="12" t="s">
        <v>21</v>
      </c>
      <c r="G12" s="132"/>
      <c r="H12" s="133"/>
      <c r="I12" s="133"/>
      <c r="J12" s="134"/>
      <c r="K12" s="12" t="s">
        <v>20</v>
      </c>
      <c r="L12" s="13"/>
      <c r="M12" s="132"/>
      <c r="N12" s="133"/>
      <c r="O12" s="133"/>
      <c r="P12" s="133"/>
      <c r="Q12" s="134"/>
      <c r="R12" s="208"/>
      <c r="S12" s="130"/>
      <c r="T12" s="130"/>
      <c r="U12" s="16"/>
      <c r="V12" s="16"/>
      <c r="W12" s="170"/>
      <c r="X12" s="133"/>
      <c r="Y12" s="133"/>
      <c r="Z12" s="134"/>
      <c r="BJ12" s="1">
        <v>-17</v>
      </c>
      <c r="BK12" s="1">
        <v>0.99904999999999999</v>
      </c>
    </row>
    <row r="13" spans="2:63" ht="15" customHeight="1" x14ac:dyDescent="0.25">
      <c r="B13" s="62" t="s">
        <v>22</v>
      </c>
      <c r="C13" s="197"/>
      <c r="D13" s="118"/>
      <c r="E13" s="118"/>
      <c r="F13" s="119"/>
      <c r="G13" s="197"/>
      <c r="H13" s="118"/>
      <c r="I13" s="118"/>
      <c r="J13" s="119"/>
      <c r="K13" s="197"/>
      <c r="L13" s="118"/>
      <c r="M13" s="118"/>
      <c r="N13" s="119"/>
      <c r="O13" s="221"/>
      <c r="P13" s="124"/>
      <c r="Q13" s="124"/>
      <c r="R13" s="125"/>
      <c r="S13" s="219"/>
      <c r="T13" s="118"/>
      <c r="U13" s="118"/>
      <c r="V13" s="118"/>
      <c r="W13" s="220"/>
      <c r="X13" s="118"/>
      <c r="Y13" s="118"/>
      <c r="Z13" s="122"/>
      <c r="AA13" s="126"/>
      <c r="AB13" s="82"/>
      <c r="AC13" s="82"/>
      <c r="AD13" s="82"/>
      <c r="AE13" s="126"/>
      <c r="AF13" s="82"/>
      <c r="AG13" s="82"/>
      <c r="AH13" s="82"/>
      <c r="AI13" s="126"/>
      <c r="AJ13" s="82"/>
      <c r="AK13" s="82"/>
      <c r="AL13" s="82"/>
      <c r="AM13" s="126"/>
      <c r="AN13" s="82"/>
      <c r="AO13" s="82"/>
      <c r="AP13" s="82"/>
      <c r="BJ13" s="1">
        <v>-16</v>
      </c>
      <c r="BK13" s="1">
        <v>0.99905999999999995</v>
      </c>
    </row>
    <row r="14" spans="2:63" ht="21.75" customHeight="1" x14ac:dyDescent="0.25">
      <c r="B14" s="63" t="s">
        <v>23</v>
      </c>
      <c r="C14" s="180">
        <v>455</v>
      </c>
      <c r="D14" s="93"/>
      <c r="E14" s="93"/>
      <c r="F14" s="94"/>
      <c r="G14" s="180"/>
      <c r="H14" s="93"/>
      <c r="I14" s="93"/>
      <c r="J14" s="94"/>
      <c r="K14" s="180"/>
      <c r="L14" s="93"/>
      <c r="M14" s="93"/>
      <c r="N14" s="94"/>
      <c r="O14" s="180"/>
      <c r="P14" s="93"/>
      <c r="Q14" s="93"/>
      <c r="R14" s="94"/>
      <c r="S14" s="218"/>
      <c r="T14" s="93"/>
      <c r="U14" s="93"/>
      <c r="V14" s="93"/>
      <c r="W14" s="205"/>
      <c r="X14" s="93"/>
      <c r="Y14" s="93"/>
      <c r="Z14" s="158"/>
      <c r="AA14" s="83"/>
      <c r="AB14" s="84"/>
      <c r="AC14" s="84"/>
      <c r="AD14" s="84"/>
      <c r="AE14" s="83"/>
      <c r="AF14" s="84"/>
      <c r="AG14" s="84"/>
      <c r="AH14" s="84"/>
      <c r="AI14" s="83"/>
      <c r="AJ14" s="84"/>
      <c r="AK14" s="84"/>
      <c r="AL14" s="84"/>
      <c r="AM14" s="83"/>
      <c r="AN14" s="84"/>
      <c r="AO14" s="84"/>
      <c r="AP14" s="84"/>
      <c r="BJ14" s="1">
        <v>-15</v>
      </c>
      <c r="BK14" s="1">
        <v>0.99907000000000001</v>
      </c>
    </row>
    <row r="15" spans="2:63" ht="21.75" customHeight="1" x14ac:dyDescent="0.25">
      <c r="B15" s="64" t="s">
        <v>24</v>
      </c>
      <c r="C15" s="185"/>
      <c r="D15" s="86"/>
      <c r="E15" s="86"/>
      <c r="F15" s="91"/>
      <c r="G15" s="185"/>
      <c r="H15" s="86"/>
      <c r="I15" s="86"/>
      <c r="J15" s="91"/>
      <c r="K15" s="185"/>
      <c r="L15" s="86"/>
      <c r="M15" s="86"/>
      <c r="N15" s="91"/>
      <c r="O15" s="185"/>
      <c r="P15" s="86"/>
      <c r="Q15" s="86"/>
      <c r="R15" s="91"/>
      <c r="S15" s="192"/>
      <c r="T15" s="86"/>
      <c r="U15" s="86"/>
      <c r="V15" s="86"/>
      <c r="W15" s="185"/>
      <c r="X15" s="86"/>
      <c r="Y15" s="86"/>
      <c r="Z15" s="91"/>
      <c r="AA15" s="83"/>
      <c r="AB15" s="84"/>
      <c r="AC15" s="84"/>
      <c r="AD15" s="84"/>
      <c r="AE15" s="83"/>
      <c r="AF15" s="84"/>
      <c r="AG15" s="84"/>
      <c r="AH15" s="84"/>
      <c r="AI15" s="83"/>
      <c r="AJ15" s="84"/>
      <c r="AK15" s="84"/>
      <c r="AL15" s="84"/>
      <c r="AM15" s="83"/>
      <c r="AN15" s="84"/>
      <c r="AO15" s="84"/>
      <c r="AP15" s="84"/>
      <c r="BJ15" s="1">
        <v>-14</v>
      </c>
      <c r="BK15" s="1">
        <v>0.99907999999999997</v>
      </c>
    </row>
    <row r="16" spans="2:63" ht="23.25" customHeight="1" x14ac:dyDescent="0.25">
      <c r="B16" s="65" t="s">
        <v>25</v>
      </c>
      <c r="C16" s="66"/>
      <c r="D16" s="198"/>
      <c r="E16" s="91"/>
      <c r="F16" s="66"/>
      <c r="G16" s="67"/>
      <c r="H16" s="198"/>
      <c r="I16" s="91"/>
      <c r="J16" s="67"/>
      <c r="K16" s="66"/>
      <c r="L16" s="198"/>
      <c r="M16" s="91"/>
      <c r="N16" s="66"/>
      <c r="O16" s="66"/>
      <c r="P16" s="198"/>
      <c r="Q16" s="91"/>
      <c r="R16" s="66"/>
      <c r="S16" s="67"/>
      <c r="T16" s="198"/>
      <c r="U16" s="91"/>
      <c r="V16" s="68"/>
      <c r="W16" s="67"/>
      <c r="X16" s="198"/>
      <c r="Y16" s="91"/>
      <c r="Z16" s="67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BJ16" s="1">
        <v>-13</v>
      </c>
      <c r="BK16" s="1">
        <v>0.99909999999999999</v>
      </c>
    </row>
    <row r="17" spans="2:63" ht="23.25" customHeight="1" x14ac:dyDescent="0.25">
      <c r="B17" s="69" t="s">
        <v>26</v>
      </c>
      <c r="C17" s="201">
        <f>IF(C16&gt;0,AVERAGE(C16:F16),0)</f>
        <v>0</v>
      </c>
      <c r="D17" s="99"/>
      <c r="E17" s="99"/>
      <c r="F17" s="100"/>
      <c r="G17" s="201">
        <f>IF(G16&gt;0,AVERAGE(G16:J16),0)</f>
        <v>0</v>
      </c>
      <c r="H17" s="99"/>
      <c r="I17" s="99"/>
      <c r="J17" s="100"/>
      <c r="K17" s="201">
        <f>IF(K16&gt;0,AVERAGE(K16:N16),0)</f>
        <v>0</v>
      </c>
      <c r="L17" s="99"/>
      <c r="M17" s="99"/>
      <c r="N17" s="100"/>
      <c r="O17" s="201">
        <f>IF(O16&gt;0,AVERAGE(O16:R16),0)</f>
        <v>0</v>
      </c>
      <c r="P17" s="99"/>
      <c r="Q17" s="99"/>
      <c r="R17" s="100"/>
      <c r="S17" s="217">
        <f>IF(S16&gt;0,AVERAGE(S16:V16),0)</f>
        <v>0</v>
      </c>
      <c r="T17" s="99"/>
      <c r="U17" s="99"/>
      <c r="V17" s="99"/>
      <c r="W17" s="201">
        <f>IF(W16&gt;0,AVERAGE(W16:Z16),0)</f>
        <v>0</v>
      </c>
      <c r="X17" s="99"/>
      <c r="Y17" s="99"/>
      <c r="Z17" s="100"/>
      <c r="AA17" s="81"/>
      <c r="AB17" s="82"/>
      <c r="AC17" s="82"/>
      <c r="AD17" s="82"/>
      <c r="AE17" s="81"/>
      <c r="AF17" s="82"/>
      <c r="AG17" s="82"/>
      <c r="AH17" s="82"/>
      <c r="AI17" s="81"/>
      <c r="AJ17" s="82"/>
      <c r="AK17" s="82"/>
      <c r="AL17" s="82"/>
      <c r="AM17" s="81"/>
      <c r="AN17" s="82"/>
      <c r="AO17" s="82"/>
      <c r="AP17" s="82"/>
      <c r="BJ17" s="1">
        <v>-12</v>
      </c>
      <c r="BK17" s="1">
        <v>0.99911000000000005</v>
      </c>
    </row>
    <row r="18" spans="2:63" ht="23.25" customHeight="1" x14ac:dyDescent="0.25">
      <c r="B18" s="70" t="s">
        <v>27</v>
      </c>
      <c r="C18" s="190">
        <f>VLOOKUP(ROUND(C17,0),Shelltable,2,FALSE())</f>
        <v>0.99926000000000004</v>
      </c>
      <c r="D18" s="99"/>
      <c r="E18" s="99"/>
      <c r="F18" s="100"/>
      <c r="G18" s="190">
        <f>VLOOKUP(ROUND(G17,0),Shelltable,2,FALSE())</f>
        <v>0.99926000000000004</v>
      </c>
      <c r="H18" s="99"/>
      <c r="I18" s="99"/>
      <c r="J18" s="100"/>
      <c r="K18" s="190">
        <f>VLOOKUP(ROUND(K17,0),Shelltable,2,FALSE())</f>
        <v>0.99926000000000004</v>
      </c>
      <c r="L18" s="99"/>
      <c r="M18" s="99"/>
      <c r="N18" s="100"/>
      <c r="O18" s="190">
        <f>VLOOKUP(ROUND(O17,0),Shelltable,2,FALSE())</f>
        <v>0.99926000000000004</v>
      </c>
      <c r="P18" s="99"/>
      <c r="Q18" s="99"/>
      <c r="R18" s="100"/>
      <c r="S18" s="190">
        <f>VLOOKUP(ROUND(S17,0),Shelltable,2,FALSE())</f>
        <v>0.99926000000000004</v>
      </c>
      <c r="T18" s="99"/>
      <c r="U18" s="99"/>
      <c r="V18" s="100"/>
      <c r="W18" s="190">
        <f>VLOOKUP(ROUND(W17,0),Shelltable,2,FALSE())</f>
        <v>0.99926000000000004</v>
      </c>
      <c r="X18" s="99"/>
      <c r="Y18" s="99"/>
      <c r="Z18" s="100"/>
      <c r="AA18" s="103"/>
      <c r="AB18" s="82"/>
      <c r="AC18" s="82"/>
      <c r="AD18" s="82"/>
      <c r="AE18" s="103"/>
      <c r="AF18" s="82"/>
      <c r="AG18" s="82"/>
      <c r="AH18" s="82"/>
      <c r="AI18" s="103"/>
      <c r="AJ18" s="82"/>
      <c r="AK18" s="82"/>
      <c r="AL18" s="82"/>
      <c r="AM18" s="103"/>
      <c r="AN18" s="82"/>
      <c r="AO18" s="82"/>
      <c r="AP18" s="82"/>
      <c r="BJ18" s="1">
        <v>-11</v>
      </c>
      <c r="BK18" s="1">
        <v>0.99912000000000001</v>
      </c>
    </row>
    <row r="19" spans="2:63" ht="23.25" customHeight="1" x14ac:dyDescent="0.25">
      <c r="B19" s="71" t="s">
        <v>28</v>
      </c>
      <c r="C19" s="181">
        <f>IF(C17=0,0,IF(C17=60,1,EXP(-(594.5418/((141.5/($W$9+131.5)*999.016)^2))*((C17-60)/1.8)*(1+0.8*(594.5418/((141.5/($W$9+131.5)*999.016)^2))*((C17-60)/1.8)))))</f>
        <v>0</v>
      </c>
      <c r="D19" s="86"/>
      <c r="E19" s="86"/>
      <c r="F19" s="91"/>
      <c r="G19" s="181">
        <f>IF(G17=0,0,IF(G17=60,1,EXP(-(594.5418/((141.5/($W$9+131.5)*999.016)^2))*((G17-60)/1.8)*(1+0.8*(594.5418/((141.5/($W$9+131.5)*999.016)^2))*((G17-60)/1.8)))))</f>
        <v>0</v>
      </c>
      <c r="H19" s="86"/>
      <c r="I19" s="86"/>
      <c r="J19" s="91"/>
      <c r="K19" s="181">
        <f>IF(K17=0,0,IF(K17=60,1,EXP(-(594.5418/((141.5/($W$9+131.5)*999.016)^2))*((K17-60)/1.8)*(1+0.8*(594.5418/((141.5/($W$9+131.5)*999.016)^2))*((K17-60)/1.8)))))</f>
        <v>0</v>
      </c>
      <c r="L19" s="86"/>
      <c r="M19" s="86"/>
      <c r="N19" s="91"/>
      <c r="O19" s="181">
        <f>IF(O17=0,0,IF(O17=60,1,EXP(-(594.5418/((141.5/($W$9+131.5)*999.016)^2))*((O17-60)/1.8)*(1+0.8*(594.5418/((141.5/($W$9+131.5)*999.016)^2))*((O17-60)/1.8)))))</f>
        <v>0</v>
      </c>
      <c r="P19" s="86"/>
      <c r="Q19" s="86"/>
      <c r="R19" s="91"/>
      <c r="S19" s="200">
        <f>IF(S17=0,0,IF(S17=60,1,EXP(-(594.5418/((141.5/($W$9+131.5)*999.016)^2))*((S17-60)/1.8)*(1+0.8*(594.5418/((141.5/($W$9+131.5)*999.016)^2))*((S17-60)/1.8)))))</f>
        <v>0</v>
      </c>
      <c r="T19" s="86"/>
      <c r="U19" s="86"/>
      <c r="V19" s="86"/>
      <c r="W19" s="181">
        <f>IF(W17=0,0,IF(W17=60,1,EXP(-(594.5418/((141.5/($W$9+131.5)*999.016)^2))*((W17-60)/1.8)*(1+0.8*(594.5418/((141.5/($W$9+131.5)*999.016)^2))*((W17-60)/1.8)))))</f>
        <v>0</v>
      </c>
      <c r="X19" s="86"/>
      <c r="Y19" s="86"/>
      <c r="Z19" s="91"/>
      <c r="AA19" s="83"/>
      <c r="AB19" s="84"/>
      <c r="AC19" s="84"/>
      <c r="AD19" s="84"/>
      <c r="AE19" s="83"/>
      <c r="AF19" s="84"/>
      <c r="AG19" s="84"/>
      <c r="AH19" s="84"/>
      <c r="AI19" s="83"/>
      <c r="AJ19" s="84"/>
      <c r="AK19" s="84"/>
      <c r="AL19" s="84"/>
      <c r="AM19" s="83"/>
      <c r="AN19" s="84"/>
      <c r="AO19" s="84"/>
      <c r="AP19" s="84"/>
      <c r="BJ19" s="1">
        <v>-10</v>
      </c>
      <c r="BK19" s="1">
        <v>0.99912999999999996</v>
      </c>
    </row>
    <row r="20" spans="2:63" ht="23.25" customHeight="1" x14ac:dyDescent="0.25">
      <c r="B20" s="72" t="s">
        <v>29</v>
      </c>
      <c r="C20" s="202">
        <f>C15*C18*C19</f>
        <v>0</v>
      </c>
      <c r="D20" s="153"/>
      <c r="E20" s="153"/>
      <c r="F20" s="154"/>
      <c r="G20" s="202">
        <f>G15*G18*G19</f>
        <v>0</v>
      </c>
      <c r="H20" s="153"/>
      <c r="I20" s="153"/>
      <c r="J20" s="154"/>
      <c r="K20" s="202">
        <f>K15*K18*K19</f>
        <v>0</v>
      </c>
      <c r="L20" s="153"/>
      <c r="M20" s="153"/>
      <c r="N20" s="154"/>
      <c r="O20" s="202">
        <f>O15*O18*O19</f>
        <v>0</v>
      </c>
      <c r="P20" s="153"/>
      <c r="Q20" s="153"/>
      <c r="R20" s="154"/>
      <c r="S20" s="204">
        <f>S15*S18*S19</f>
        <v>0</v>
      </c>
      <c r="T20" s="153"/>
      <c r="U20" s="153"/>
      <c r="V20" s="153"/>
      <c r="W20" s="202">
        <f>W15*W18*W19</f>
        <v>0</v>
      </c>
      <c r="X20" s="153"/>
      <c r="Y20" s="153"/>
      <c r="Z20" s="154"/>
      <c r="AA20" s="102"/>
      <c r="AB20" s="82"/>
      <c r="AC20" s="82"/>
      <c r="AD20" s="82"/>
      <c r="AE20" s="102"/>
      <c r="AF20" s="82"/>
      <c r="AG20" s="82"/>
      <c r="AH20" s="82"/>
      <c r="AI20" s="102"/>
      <c r="AJ20" s="82"/>
      <c r="AK20" s="82"/>
      <c r="AL20" s="82"/>
      <c r="AM20" s="102"/>
      <c r="AN20" s="82"/>
      <c r="AO20" s="82"/>
      <c r="AP20" s="82"/>
      <c r="BJ20" s="1">
        <v>-9</v>
      </c>
      <c r="BK20" s="1">
        <v>0.99914000000000003</v>
      </c>
    </row>
    <row r="21" spans="2:63" ht="21.75" customHeight="1" x14ac:dyDescent="0.25">
      <c r="B21" s="73" t="s">
        <v>30</v>
      </c>
      <c r="C21" s="206"/>
      <c r="D21" s="130"/>
      <c r="E21" s="130"/>
      <c r="F21" s="136"/>
      <c r="G21" s="206"/>
      <c r="H21" s="130"/>
      <c r="I21" s="130"/>
      <c r="J21" s="136"/>
      <c r="K21" s="206"/>
      <c r="L21" s="130"/>
      <c r="M21" s="130"/>
      <c r="N21" s="136"/>
      <c r="O21" s="206"/>
      <c r="P21" s="130"/>
      <c r="Q21" s="130"/>
      <c r="R21" s="136"/>
      <c r="S21" s="186"/>
      <c r="T21" s="130"/>
      <c r="U21" s="130"/>
      <c r="V21" s="130"/>
      <c r="W21" s="206"/>
      <c r="X21" s="130"/>
      <c r="Y21" s="130"/>
      <c r="Z21" s="136"/>
      <c r="AA21" s="83"/>
      <c r="AB21" s="84"/>
      <c r="AC21" s="84"/>
      <c r="AD21" s="84"/>
      <c r="AE21" s="83"/>
      <c r="AF21" s="84"/>
      <c r="AG21" s="84"/>
      <c r="AH21" s="84"/>
      <c r="AI21" s="83"/>
      <c r="AJ21" s="84"/>
      <c r="AK21" s="84"/>
      <c r="AL21" s="84"/>
      <c r="AM21" s="83"/>
      <c r="AN21" s="84"/>
      <c r="AO21" s="84"/>
      <c r="AP21" s="84"/>
      <c r="BJ21" s="1">
        <v>-8</v>
      </c>
      <c r="BK21" s="1">
        <v>0.99916000000000005</v>
      </c>
    </row>
    <row r="22" spans="2:63" ht="21.75" customHeight="1" x14ac:dyDescent="0.25">
      <c r="B22" s="74" t="s">
        <v>31</v>
      </c>
      <c r="C22" s="198"/>
      <c r="D22" s="86"/>
      <c r="E22" s="86"/>
      <c r="F22" s="91"/>
      <c r="G22" s="198"/>
      <c r="H22" s="86"/>
      <c r="I22" s="86"/>
      <c r="J22" s="91"/>
      <c r="K22" s="198"/>
      <c r="L22" s="86"/>
      <c r="M22" s="86"/>
      <c r="N22" s="91"/>
      <c r="O22" s="198"/>
      <c r="P22" s="86"/>
      <c r="Q22" s="86"/>
      <c r="R22" s="91"/>
      <c r="S22" s="198"/>
      <c r="T22" s="86"/>
      <c r="U22" s="86"/>
      <c r="V22" s="91"/>
      <c r="W22" s="198"/>
      <c r="X22" s="86"/>
      <c r="Y22" s="86"/>
      <c r="Z22" s="91"/>
      <c r="AA22" s="138"/>
      <c r="AB22" s="84"/>
      <c r="AC22" s="84"/>
      <c r="AD22" s="84"/>
      <c r="AE22" s="83"/>
      <c r="AF22" s="84"/>
      <c r="AG22" s="84"/>
      <c r="AH22" s="84"/>
      <c r="AI22" s="83"/>
      <c r="AJ22" s="84"/>
      <c r="AK22" s="84"/>
      <c r="AL22" s="84"/>
      <c r="AM22" s="83"/>
      <c r="AN22" s="84"/>
      <c r="AO22" s="84"/>
      <c r="AP22" s="84"/>
      <c r="BJ22" s="1">
        <v>-7</v>
      </c>
      <c r="BK22" s="1">
        <v>0.99917</v>
      </c>
    </row>
    <row r="23" spans="2:63" ht="21.75" customHeight="1" x14ac:dyDescent="0.25">
      <c r="B23" s="71" t="s">
        <v>32</v>
      </c>
      <c r="C23" s="181">
        <f>IF(C22=0,0,IF(C22=60,1,EXP(-(594.5418/((141.5/($W$9+131.5)*999.016)^2))*((C22-60)/1.8)*(1+0.8*(594.5418/((141.5/($W$9+131.5)*999.016)^2))*((C22-60)/1.8)))))</f>
        <v>0</v>
      </c>
      <c r="D23" s="86"/>
      <c r="E23" s="86"/>
      <c r="F23" s="91"/>
      <c r="G23" s="181">
        <f>IF(G22=0,0,IF(G22=60,1,EXP(-(594.5418/((141.5/($W$9+131.5)*999.016)^2))*((G22-60)/1.8)*(1+0.8*(594.5418/((141.5/($W$9+131.5)*999.016)^2))*((G22-60)/1.8)))))</f>
        <v>0</v>
      </c>
      <c r="H23" s="86"/>
      <c r="I23" s="86"/>
      <c r="J23" s="91"/>
      <c r="K23" s="181">
        <f>IF(K22=0,0,IF(K22=60,1,EXP(-(594.5418/((141.5/($W$9+131.5)*999.016)^2))*((K22-60)/1.8)*(1+0.8*(594.5418/((141.5/($W$9+131.5)*999.016)^2))*((K22-60)/1.8)))))</f>
        <v>0</v>
      </c>
      <c r="L23" s="86"/>
      <c r="M23" s="86"/>
      <c r="N23" s="91"/>
      <c r="O23" s="181">
        <f>IF(O22=0,0,IF(O22=60,1,EXP(-(594.5418/((141.5/($W$9+131.5)*999.016)^2))*((O22-60)/1.8)*(1+0.8*(594.5418/((141.5/($W$9+131.5)*999.016)^2))*((O22-60)/1.8)))))</f>
        <v>0</v>
      </c>
      <c r="P23" s="86"/>
      <c r="Q23" s="86"/>
      <c r="R23" s="91"/>
      <c r="S23" s="200">
        <f>IF(S22=0,0,IF(S22=60,1,EXP(-(594.5418/((141.5/($W$9+131.5)*999.016)^2))*((S22-60)/1.8)*(1+0.8*(594.5418/((141.5/($W$9+131.5)*999.016)^2))*((S22-60)/1.8)))))</f>
        <v>0</v>
      </c>
      <c r="T23" s="86"/>
      <c r="U23" s="86"/>
      <c r="V23" s="86"/>
      <c r="W23" s="181">
        <f>IF(W22=0,0,IF(W22=60,1,EXP(-(594.5418/((141.5/($W$9+131.5)*999.016)^2))*((W22-60)/1.8)*(1+0.8*(594.5418/((141.5/($W$9+131.5)*999.016)^2))*((W22-60)/1.8)))))</f>
        <v>0</v>
      </c>
      <c r="X23" s="86"/>
      <c r="Y23" s="86"/>
      <c r="Z23" s="91"/>
      <c r="AA23" s="83"/>
      <c r="AB23" s="84"/>
      <c r="AC23" s="84"/>
      <c r="AD23" s="84"/>
      <c r="AE23" s="83"/>
      <c r="AF23" s="84"/>
      <c r="AG23" s="84"/>
      <c r="AH23" s="84"/>
      <c r="AI23" s="83"/>
      <c r="AJ23" s="84"/>
      <c r="AK23" s="84"/>
      <c r="AL23" s="84"/>
      <c r="AM23" s="83"/>
      <c r="AN23" s="84"/>
      <c r="AO23" s="84"/>
      <c r="AP23" s="84"/>
      <c r="BJ23" s="1">
        <v>-6</v>
      </c>
      <c r="BK23" s="1">
        <v>0.99917999999999996</v>
      </c>
    </row>
    <row r="24" spans="2:63" ht="21.75" customHeight="1" x14ac:dyDescent="0.25">
      <c r="B24" s="69" t="s">
        <v>33</v>
      </c>
      <c r="C24" s="195">
        <f>C21*C23</f>
        <v>0</v>
      </c>
      <c r="D24" s="99"/>
      <c r="E24" s="99"/>
      <c r="F24" s="100"/>
      <c r="G24" s="195">
        <f>G21*G23</f>
        <v>0</v>
      </c>
      <c r="H24" s="99"/>
      <c r="I24" s="99"/>
      <c r="J24" s="100"/>
      <c r="K24" s="195">
        <f>K21*K23</f>
        <v>0</v>
      </c>
      <c r="L24" s="99"/>
      <c r="M24" s="99"/>
      <c r="N24" s="100"/>
      <c r="O24" s="195">
        <f>O21*O23</f>
        <v>0</v>
      </c>
      <c r="P24" s="99"/>
      <c r="Q24" s="99"/>
      <c r="R24" s="100"/>
      <c r="S24" s="207">
        <f>S21*S23</f>
        <v>0</v>
      </c>
      <c r="T24" s="99"/>
      <c r="U24" s="99"/>
      <c r="V24" s="99"/>
      <c r="W24" s="195">
        <f>W21*W23</f>
        <v>0</v>
      </c>
      <c r="X24" s="99"/>
      <c r="Y24" s="99"/>
      <c r="Z24" s="100"/>
      <c r="AA24" s="160"/>
      <c r="AB24" s="82"/>
      <c r="AC24" s="82"/>
      <c r="AD24" s="82"/>
      <c r="AE24" s="160"/>
      <c r="AF24" s="82"/>
      <c r="AG24" s="82"/>
      <c r="AH24" s="82"/>
      <c r="AI24" s="160"/>
      <c r="AJ24" s="82"/>
      <c r="AK24" s="82"/>
      <c r="AL24" s="82"/>
      <c r="AM24" s="160"/>
      <c r="AN24" s="82"/>
      <c r="AO24" s="82"/>
      <c r="AP24" s="82"/>
      <c r="BJ24" s="1">
        <v>-5</v>
      </c>
      <c r="BK24" s="1">
        <v>0.99919000000000002</v>
      </c>
    </row>
    <row r="25" spans="2:63" ht="21.75" customHeight="1" x14ac:dyDescent="0.25">
      <c r="B25" s="69" t="s">
        <v>34</v>
      </c>
      <c r="C25" s="199">
        <f>C20-C24</f>
        <v>0</v>
      </c>
      <c r="D25" s="99"/>
      <c r="E25" s="99"/>
      <c r="F25" s="100"/>
      <c r="G25" s="199">
        <f>G20-G24</f>
        <v>0</v>
      </c>
      <c r="H25" s="99"/>
      <c r="I25" s="99"/>
      <c r="J25" s="100"/>
      <c r="K25" s="199">
        <f>K20-K24</f>
        <v>0</v>
      </c>
      <c r="L25" s="99"/>
      <c r="M25" s="99"/>
      <c r="N25" s="100"/>
      <c r="O25" s="199">
        <f>O20-O24</f>
        <v>0</v>
      </c>
      <c r="P25" s="99"/>
      <c r="Q25" s="99"/>
      <c r="R25" s="100"/>
      <c r="S25" s="215">
        <f>S20-S24</f>
        <v>0</v>
      </c>
      <c r="T25" s="99"/>
      <c r="U25" s="99"/>
      <c r="V25" s="99"/>
      <c r="W25" s="199">
        <f>W20-W24</f>
        <v>0</v>
      </c>
      <c r="X25" s="99"/>
      <c r="Y25" s="99"/>
      <c r="Z25" s="100"/>
      <c r="AA25" s="96"/>
      <c r="AB25" s="82"/>
      <c r="AC25" s="82"/>
      <c r="AD25" s="82"/>
      <c r="AE25" s="96"/>
      <c r="AF25" s="82"/>
      <c r="AG25" s="82"/>
      <c r="AH25" s="82"/>
      <c r="AI25" s="96"/>
      <c r="AJ25" s="82"/>
      <c r="AK25" s="82"/>
      <c r="AL25" s="82"/>
      <c r="AM25" s="96"/>
      <c r="AN25" s="82"/>
      <c r="AO25" s="82"/>
      <c r="AP25" s="82"/>
      <c r="BJ25" s="1">
        <v>-4</v>
      </c>
      <c r="BK25" s="1">
        <v>0.99921000000000004</v>
      </c>
    </row>
    <row r="26" spans="2:63" ht="21.75" customHeight="1" x14ac:dyDescent="0.25">
      <c r="B26" s="69" t="s">
        <v>35</v>
      </c>
      <c r="C26" s="196">
        <f>IF(C21&lt;=0,0,(C25/C24*100))</f>
        <v>0</v>
      </c>
      <c r="D26" s="99"/>
      <c r="E26" s="99"/>
      <c r="F26" s="100"/>
      <c r="G26" s="196">
        <f>IF(G21&lt;=0,0,(G25/G24*100))</f>
        <v>0</v>
      </c>
      <c r="H26" s="99"/>
      <c r="I26" s="99"/>
      <c r="J26" s="100"/>
      <c r="K26" s="196">
        <f>IF(K21&lt;=0,0,(K25/K24*100))</f>
        <v>0</v>
      </c>
      <c r="L26" s="99"/>
      <c r="M26" s="99"/>
      <c r="N26" s="100"/>
      <c r="O26" s="196">
        <f>IF(O21&lt;=0,0,(O25/O24*100))</f>
        <v>0</v>
      </c>
      <c r="P26" s="99"/>
      <c r="Q26" s="99"/>
      <c r="R26" s="100"/>
      <c r="S26" s="183">
        <f>IF(S21&lt;=0,0,(S25/S24*100))</f>
        <v>0</v>
      </c>
      <c r="T26" s="99"/>
      <c r="U26" s="99"/>
      <c r="V26" s="99"/>
      <c r="W26" s="196">
        <f>IF(W21&lt;=0,0,(W25/W24*100))</f>
        <v>0</v>
      </c>
      <c r="X26" s="99"/>
      <c r="Y26" s="99"/>
      <c r="Z26" s="100"/>
      <c r="AA26" s="96"/>
      <c r="AB26" s="82"/>
      <c r="AC26" s="82"/>
      <c r="AD26" s="82"/>
      <c r="AE26" s="96"/>
      <c r="AF26" s="82"/>
      <c r="AG26" s="82"/>
      <c r="AH26" s="82"/>
      <c r="AI26" s="96"/>
      <c r="AJ26" s="82"/>
      <c r="AK26" s="82"/>
      <c r="AL26" s="82"/>
      <c r="AM26" s="96"/>
      <c r="AN26" s="82"/>
      <c r="AO26" s="82"/>
      <c r="AP26" s="82"/>
      <c r="BJ26" s="1">
        <v>-3</v>
      </c>
      <c r="BK26" s="1">
        <v>0.99922</v>
      </c>
    </row>
    <row r="27" spans="2:63" ht="21.75" customHeight="1" x14ac:dyDescent="0.25">
      <c r="B27" s="69" t="s">
        <v>36</v>
      </c>
      <c r="C27" s="182">
        <f>C25*231</f>
        <v>0</v>
      </c>
      <c r="D27" s="99"/>
      <c r="E27" s="99"/>
      <c r="F27" s="100"/>
      <c r="G27" s="182">
        <f>G25*231</f>
        <v>0</v>
      </c>
      <c r="H27" s="99"/>
      <c r="I27" s="99"/>
      <c r="J27" s="100"/>
      <c r="K27" s="182">
        <f>K25*231</f>
        <v>0</v>
      </c>
      <c r="L27" s="99"/>
      <c r="M27" s="99"/>
      <c r="N27" s="100"/>
      <c r="O27" s="182">
        <f>O25*231</f>
        <v>0</v>
      </c>
      <c r="P27" s="99"/>
      <c r="Q27" s="99"/>
      <c r="R27" s="100"/>
      <c r="S27" s="216">
        <f>S25*231</f>
        <v>0</v>
      </c>
      <c r="T27" s="99"/>
      <c r="U27" s="99"/>
      <c r="V27" s="99"/>
      <c r="W27" s="182">
        <f>W25*231</f>
        <v>0</v>
      </c>
      <c r="X27" s="99"/>
      <c r="Y27" s="99"/>
      <c r="Z27" s="100"/>
      <c r="AA27" s="102"/>
      <c r="AB27" s="82"/>
      <c r="AC27" s="82"/>
      <c r="AD27" s="82"/>
      <c r="AE27" s="102"/>
      <c r="AF27" s="82"/>
      <c r="AG27" s="82"/>
      <c r="AH27" s="82"/>
      <c r="AI27" s="102"/>
      <c r="AJ27" s="82"/>
      <c r="AK27" s="82"/>
      <c r="AL27" s="82"/>
      <c r="AM27" s="102"/>
      <c r="AN27" s="82"/>
      <c r="AO27" s="82"/>
      <c r="AP27" s="82"/>
      <c r="BJ27" s="1">
        <v>-2</v>
      </c>
      <c r="BK27" s="1">
        <v>0.99922999999999995</v>
      </c>
    </row>
    <row r="28" spans="2:63" ht="21.75" customHeight="1" x14ac:dyDescent="0.25">
      <c r="B28" s="69" t="s">
        <v>37</v>
      </c>
      <c r="C28" s="196">
        <f>IF(C20&gt;0,(C20/C24),0)</f>
        <v>0</v>
      </c>
      <c r="D28" s="99"/>
      <c r="E28" s="99"/>
      <c r="F28" s="100"/>
      <c r="G28" s="196">
        <f>IF(G20&gt;0,(G20/G24),0)</f>
        <v>0</v>
      </c>
      <c r="H28" s="99"/>
      <c r="I28" s="99"/>
      <c r="J28" s="100"/>
      <c r="K28" s="196">
        <f>IF(K20&gt;0,(K20/K24),0)</f>
        <v>0</v>
      </c>
      <c r="L28" s="99"/>
      <c r="M28" s="99"/>
      <c r="N28" s="100"/>
      <c r="O28" s="196">
        <f>IF(O20&gt;0,(O20/O24),0)</f>
        <v>0</v>
      </c>
      <c r="P28" s="99"/>
      <c r="Q28" s="99"/>
      <c r="R28" s="100"/>
      <c r="S28" s="183">
        <f>IF(S20&gt;0,(S20/S24),0)</f>
        <v>0</v>
      </c>
      <c r="T28" s="99"/>
      <c r="U28" s="99"/>
      <c r="V28" s="99"/>
      <c r="W28" s="196">
        <f>IF(W20&gt;0,(W20/W24),0)</f>
        <v>0</v>
      </c>
      <c r="X28" s="99"/>
      <c r="Y28" s="99"/>
      <c r="Z28" s="100"/>
      <c r="AA28" s="96"/>
      <c r="AB28" s="82"/>
      <c r="AC28" s="82"/>
      <c r="AD28" s="82"/>
      <c r="AE28" s="96"/>
      <c r="AF28" s="82"/>
      <c r="AG28" s="82"/>
      <c r="AH28" s="82"/>
      <c r="AI28" s="96"/>
      <c r="AJ28" s="82"/>
      <c r="AK28" s="82"/>
      <c r="AL28" s="82"/>
      <c r="AM28" s="96"/>
      <c r="AN28" s="82"/>
      <c r="AO28" s="82"/>
      <c r="AP28" s="82"/>
      <c r="BJ28" s="1">
        <v>-1</v>
      </c>
      <c r="BK28" s="1">
        <v>0.99924000000000002</v>
      </c>
    </row>
    <row r="29" spans="2:63" ht="21.75" customHeight="1" x14ac:dyDescent="0.25">
      <c r="B29" s="75" t="s">
        <v>102</v>
      </c>
      <c r="C29" s="185"/>
      <c r="D29" s="86"/>
      <c r="E29" s="86"/>
      <c r="F29" s="91"/>
      <c r="G29" s="179"/>
      <c r="H29" s="86"/>
      <c r="I29" s="86"/>
      <c r="J29" s="91"/>
      <c r="K29" s="185"/>
      <c r="L29" s="86"/>
      <c r="M29" s="86"/>
      <c r="N29" s="91"/>
      <c r="O29" s="179"/>
      <c r="P29" s="86"/>
      <c r="Q29" s="86"/>
      <c r="R29" s="91"/>
      <c r="S29" s="178"/>
      <c r="T29" s="86"/>
      <c r="U29" s="86"/>
      <c r="V29" s="86"/>
      <c r="W29" s="179"/>
      <c r="X29" s="86"/>
      <c r="Y29" s="86"/>
      <c r="Z29" s="91"/>
      <c r="AA29" s="97"/>
      <c r="AB29" s="84"/>
      <c r="AC29" s="84"/>
      <c r="AD29" s="84"/>
      <c r="AE29" s="97"/>
      <c r="AF29" s="84"/>
      <c r="AG29" s="84"/>
      <c r="AH29" s="84"/>
      <c r="AI29" s="97"/>
      <c r="AJ29" s="84"/>
      <c r="AK29" s="84"/>
      <c r="AL29" s="84"/>
      <c r="AM29" s="97"/>
      <c r="AN29" s="84"/>
      <c r="AO29" s="84"/>
      <c r="AP29" s="84"/>
      <c r="BJ29" s="1">
        <v>0</v>
      </c>
      <c r="BK29" s="1">
        <v>0.99926000000000004</v>
      </c>
    </row>
    <row r="30" spans="2:63" ht="21.75" customHeight="1" x14ac:dyDescent="0.25">
      <c r="B30" s="69" t="s">
        <v>103</v>
      </c>
      <c r="C30" s="213">
        <f>(C28*C29)</f>
        <v>0</v>
      </c>
      <c r="D30" s="86"/>
      <c r="E30" s="86"/>
      <c r="F30" s="91"/>
      <c r="G30" s="214">
        <f>(G28*G29)</f>
        <v>0</v>
      </c>
      <c r="H30" s="86"/>
      <c r="I30" s="86"/>
      <c r="J30" s="91"/>
      <c r="K30" s="212">
        <f>(K28*K29)</f>
        <v>0</v>
      </c>
      <c r="L30" s="86"/>
      <c r="M30" s="86"/>
      <c r="N30" s="91"/>
      <c r="O30" s="212">
        <f>(O28*O29)</f>
        <v>0</v>
      </c>
      <c r="P30" s="86"/>
      <c r="Q30" s="86"/>
      <c r="R30" s="91"/>
      <c r="S30" s="203">
        <f>(S28*S29)</f>
        <v>0</v>
      </c>
      <c r="T30" s="86"/>
      <c r="U30" s="86"/>
      <c r="V30" s="86"/>
      <c r="W30" s="213">
        <f>(W28*W29)</f>
        <v>0</v>
      </c>
      <c r="X30" s="86"/>
      <c r="Y30" s="86"/>
      <c r="Z30" s="91"/>
      <c r="AA30" s="81"/>
      <c r="AB30" s="82"/>
      <c r="AC30" s="82"/>
      <c r="AD30" s="82"/>
      <c r="AE30" s="81"/>
      <c r="AF30" s="82"/>
      <c r="AG30" s="82"/>
      <c r="AH30" s="82"/>
      <c r="AI30" s="81"/>
      <c r="AJ30" s="82"/>
      <c r="AK30" s="82"/>
      <c r="AL30" s="82"/>
      <c r="AM30" s="81"/>
      <c r="AN30" s="82"/>
      <c r="AO30" s="82"/>
      <c r="AP30" s="82"/>
      <c r="BJ30" s="1">
        <v>1</v>
      </c>
      <c r="BK30" s="1">
        <v>0.99926999999999999</v>
      </c>
    </row>
    <row r="31" spans="2:63" ht="20.25" customHeight="1" x14ac:dyDescent="0.25">
      <c r="B31" s="76" t="s">
        <v>40</v>
      </c>
      <c r="C31" s="211"/>
      <c r="D31" s="107"/>
      <c r="E31" s="59"/>
      <c r="F31" s="77"/>
      <c r="G31" s="211"/>
      <c r="H31" s="107"/>
      <c r="I31" s="107"/>
      <c r="J31" s="59"/>
      <c r="K31" s="77"/>
      <c r="L31" s="32"/>
      <c r="M31" s="32"/>
      <c r="N31" s="32"/>
      <c r="O31" s="33"/>
      <c r="P31" s="33"/>
      <c r="Q31" s="3"/>
      <c r="R31" s="76"/>
      <c r="S31" s="3"/>
      <c r="T31" s="3"/>
      <c r="U31" s="3"/>
      <c r="V31" s="3"/>
      <c r="W31" s="59"/>
      <c r="X31" s="59"/>
      <c r="Y31" s="59"/>
      <c r="Z31" s="59"/>
      <c r="AA31" s="23"/>
      <c r="AB31" s="23"/>
      <c r="AC31" s="23"/>
      <c r="AD31" s="23"/>
      <c r="BJ31" s="1">
        <v>2</v>
      </c>
      <c r="BK31" s="1">
        <v>0.99927999999999995</v>
      </c>
    </row>
    <row r="32" spans="2:63" ht="18.75" customHeight="1" x14ac:dyDescent="0.25">
      <c r="B32" s="76" t="s">
        <v>41</v>
      </c>
      <c r="C32" s="34"/>
      <c r="D32" s="34"/>
      <c r="E32" s="32"/>
      <c r="F32" s="35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"/>
      <c r="AB32" s="3"/>
      <c r="AC32" s="3"/>
      <c r="AD32" s="3"/>
      <c r="BJ32" s="1">
        <v>3</v>
      </c>
      <c r="BK32" s="1">
        <v>0.99929000000000001</v>
      </c>
    </row>
    <row r="33" spans="2:63" ht="18.75" customHeight="1" x14ac:dyDescent="0.25">
      <c r="B33" s="76" t="s">
        <v>42</v>
      </c>
      <c r="C33" s="77"/>
      <c r="D33" s="78"/>
      <c r="E33" s="77"/>
      <c r="F33" s="77"/>
      <c r="G33" s="77"/>
      <c r="H33" s="77"/>
      <c r="I33" s="77"/>
      <c r="J33" s="77"/>
      <c r="K33" s="77"/>
      <c r="L33" s="3"/>
      <c r="M33" s="3"/>
      <c r="N33" s="3"/>
      <c r="O33" s="76"/>
      <c r="P33" s="3"/>
      <c r="Q33" s="3"/>
      <c r="R33" s="77"/>
      <c r="S33" s="77"/>
      <c r="T33" s="77"/>
      <c r="U33" s="77"/>
      <c r="V33" s="77"/>
      <c r="W33" s="77"/>
      <c r="X33" s="77"/>
      <c r="Y33" s="77"/>
      <c r="Z33" s="77"/>
      <c r="AA33" s="3"/>
      <c r="AB33" s="3"/>
      <c r="AC33" s="3"/>
      <c r="AD33" s="3"/>
      <c r="BJ33" s="1">
        <v>4</v>
      </c>
      <c r="BK33" s="1">
        <v>0.99931000000000003</v>
      </c>
    </row>
    <row r="34" spans="2:63" ht="14.25" customHeight="1" x14ac:dyDescent="0.25"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BJ34" s="1">
        <v>5</v>
      </c>
      <c r="BK34" s="1">
        <v>0.99931999999999999</v>
      </c>
    </row>
    <row r="35" spans="2:63" ht="15" customHeight="1" x14ac:dyDescent="0.25">
      <c r="B35" s="147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9"/>
      <c r="BJ35" s="1">
        <v>6</v>
      </c>
      <c r="BK35" s="1">
        <v>0.99933000000000005</v>
      </c>
    </row>
    <row r="36" spans="2:63" ht="15" customHeight="1" x14ac:dyDescent="0.25">
      <c r="B36" s="150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151"/>
      <c r="BJ36" s="1">
        <v>7</v>
      </c>
      <c r="BK36" s="1">
        <v>0.99934000000000001</v>
      </c>
    </row>
    <row r="37" spans="2:63" ht="15" customHeight="1" x14ac:dyDescent="0.25">
      <c r="B37" s="150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151"/>
      <c r="BJ37" s="1">
        <v>8</v>
      </c>
      <c r="BK37" s="1">
        <v>0.99936000000000003</v>
      </c>
    </row>
    <row r="38" spans="2:63" ht="15" customHeight="1" x14ac:dyDescent="0.25">
      <c r="B38" s="150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151"/>
      <c r="BJ38" s="1">
        <v>9</v>
      </c>
      <c r="BK38" s="1">
        <v>0.99936999999999998</v>
      </c>
    </row>
    <row r="39" spans="2:63" ht="15" customHeight="1" x14ac:dyDescent="0.25">
      <c r="B39" s="79" t="s">
        <v>43</v>
      </c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7"/>
      <c r="N39" s="37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8"/>
      <c r="BJ39" s="1">
        <v>10</v>
      </c>
      <c r="BK39" s="1">
        <v>0.99938000000000005</v>
      </c>
    </row>
    <row r="40" spans="2:63" ht="15" customHeight="1" x14ac:dyDescent="0.25">
      <c r="B40" s="80" t="s">
        <v>44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40"/>
      <c r="N40" s="40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41"/>
      <c r="BJ40" s="1">
        <v>11</v>
      </c>
      <c r="BK40" s="1">
        <v>0.99939</v>
      </c>
    </row>
    <row r="41" spans="2:63" ht="15" customHeight="1" x14ac:dyDescent="0.25">
      <c r="BJ41" s="1">
        <v>12</v>
      </c>
      <c r="BK41" s="1">
        <v>0.99939999999999996</v>
      </c>
    </row>
    <row r="42" spans="2:63" ht="15" customHeight="1" x14ac:dyDescent="0.25">
      <c r="BJ42" s="1">
        <v>13</v>
      </c>
      <c r="BK42" s="1">
        <v>0.99941999999999998</v>
      </c>
    </row>
    <row r="43" spans="2:63" ht="15" customHeight="1" x14ac:dyDescent="0.25">
      <c r="BJ43" s="1">
        <v>14</v>
      </c>
      <c r="BK43" s="1">
        <v>0.99943000000000004</v>
      </c>
    </row>
    <row r="44" spans="2:63" ht="15" customHeight="1" x14ac:dyDescent="0.25">
      <c r="BJ44" s="1">
        <v>15</v>
      </c>
      <c r="BK44" s="1">
        <v>0.99944</v>
      </c>
    </row>
    <row r="45" spans="2:63" ht="15" customHeight="1" x14ac:dyDescent="0.25">
      <c r="BJ45" s="1">
        <v>16</v>
      </c>
      <c r="BK45" s="1">
        <v>0.99944999999999995</v>
      </c>
    </row>
    <row r="46" spans="2:63" ht="15" customHeight="1" x14ac:dyDescent="0.25">
      <c r="BJ46" s="1"/>
      <c r="BK46" s="1"/>
    </row>
    <row r="47" spans="2:63" ht="15" customHeight="1" x14ac:dyDescent="0.25">
      <c r="BJ47" s="1"/>
      <c r="BK47" s="1"/>
    </row>
    <row r="48" spans="2:63" ht="15" customHeight="1" x14ac:dyDescent="0.25">
      <c r="BJ48" s="1"/>
      <c r="BK48" s="1"/>
    </row>
    <row r="49" spans="2:63" ht="15" customHeight="1" x14ac:dyDescent="0.25">
      <c r="BJ49" s="1"/>
      <c r="BK49" s="1"/>
    </row>
    <row r="50" spans="2:63" ht="15" customHeight="1" x14ac:dyDescent="0.25">
      <c r="BJ50" s="1"/>
      <c r="BK50" s="1"/>
    </row>
    <row r="51" spans="2:63" ht="15" customHeight="1" x14ac:dyDescent="0.25">
      <c r="BJ51" s="1"/>
      <c r="BK51" s="1"/>
    </row>
    <row r="52" spans="2:63" ht="15" customHeight="1" x14ac:dyDescent="0.25">
      <c r="BJ52" s="1"/>
      <c r="BK52" s="1"/>
    </row>
    <row r="53" spans="2:63" ht="15" customHeight="1" x14ac:dyDescent="0.25">
      <c r="BJ53" s="1"/>
      <c r="BK53" s="1"/>
    </row>
    <row r="54" spans="2:63" ht="15" customHeight="1" x14ac:dyDescent="0.25">
      <c r="BJ54" s="1"/>
      <c r="BK54" s="1"/>
    </row>
    <row r="55" spans="2:63" ht="15" customHeight="1" x14ac:dyDescent="0.25">
      <c r="B55" s="42" t="s">
        <v>45</v>
      </c>
      <c r="C55" s="42"/>
      <c r="D55" s="42"/>
      <c r="E55" s="42"/>
      <c r="F55" s="42"/>
      <c r="G55" s="42"/>
      <c r="H55" s="42"/>
      <c r="BJ55" s="1"/>
      <c r="BK55" s="1"/>
    </row>
    <row r="56" spans="2:63" ht="15" customHeight="1" x14ac:dyDescent="0.25">
      <c r="B56" s="32" t="s">
        <v>46</v>
      </c>
      <c r="C56" s="32"/>
      <c r="D56" s="32"/>
      <c r="E56" s="32"/>
      <c r="F56" s="32"/>
      <c r="G56" s="32"/>
      <c r="H56" s="32"/>
      <c r="BJ56" s="1"/>
      <c r="BK56" s="1"/>
    </row>
    <row r="57" spans="2:63" ht="15" customHeight="1" x14ac:dyDescent="0.25">
      <c r="B57" s="32" t="s">
        <v>47</v>
      </c>
      <c r="C57" s="32"/>
      <c r="D57" s="32"/>
      <c r="E57" s="32"/>
      <c r="F57" s="32"/>
      <c r="G57" s="32"/>
      <c r="H57" s="32"/>
      <c r="BJ57" s="1"/>
      <c r="BK57" s="1"/>
    </row>
    <row r="58" spans="2:63" ht="15" customHeight="1" x14ac:dyDescent="0.25">
      <c r="B58" s="32" t="s">
        <v>48</v>
      </c>
      <c r="C58" s="32"/>
      <c r="D58" s="32"/>
      <c r="E58" s="32"/>
      <c r="F58" s="32"/>
      <c r="G58" s="32"/>
      <c r="H58" s="32"/>
      <c r="BJ58" s="1"/>
      <c r="BK58" s="1"/>
    </row>
    <row r="59" spans="2:63" ht="15" customHeight="1" x14ac:dyDescent="0.25">
      <c r="B59" s="32" t="s">
        <v>49</v>
      </c>
      <c r="C59" s="32"/>
      <c r="D59" s="32"/>
      <c r="E59" s="32"/>
      <c r="F59" s="32"/>
      <c r="G59" s="32"/>
      <c r="H59" s="32"/>
      <c r="BJ59" s="1"/>
      <c r="BK59" s="1"/>
    </row>
    <row r="60" spans="2:63" ht="15" customHeight="1" x14ac:dyDescent="0.25">
      <c r="B60" s="32" t="s">
        <v>50</v>
      </c>
      <c r="C60" s="32"/>
      <c r="D60" s="32"/>
      <c r="E60" s="32"/>
      <c r="F60" s="32"/>
      <c r="G60" s="32"/>
      <c r="H60" s="32"/>
      <c r="BJ60" s="1"/>
      <c r="BK60" s="1"/>
    </row>
    <row r="61" spans="2:63" ht="15" customHeight="1" x14ac:dyDescent="0.25">
      <c r="B61" s="32" t="s">
        <v>51</v>
      </c>
      <c r="C61" s="32"/>
      <c r="D61" s="32"/>
      <c r="E61" s="32"/>
      <c r="F61" s="43"/>
      <c r="G61" s="32"/>
      <c r="H61" s="32"/>
      <c r="BJ61" s="1"/>
      <c r="BK61" s="1"/>
    </row>
    <row r="62" spans="2:63" ht="15" customHeight="1" x14ac:dyDescent="0.25">
      <c r="B62" s="32" t="s">
        <v>52</v>
      </c>
      <c r="C62" s="32"/>
      <c r="D62" s="32"/>
      <c r="E62" s="32"/>
      <c r="F62" s="43"/>
      <c r="G62" s="32"/>
      <c r="H62" s="32"/>
      <c r="BJ62" s="1"/>
      <c r="BK62" s="1"/>
    </row>
    <row r="63" spans="2:63" ht="15" customHeight="1" x14ac:dyDescent="0.25">
      <c r="B63" s="32" t="s">
        <v>53</v>
      </c>
      <c r="C63" s="32"/>
      <c r="D63" s="32"/>
      <c r="E63" s="32"/>
      <c r="F63" s="43"/>
      <c r="G63" s="32"/>
      <c r="H63" s="32"/>
      <c r="BJ63" s="1"/>
      <c r="BK63" s="1"/>
    </row>
    <row r="64" spans="2:63" ht="15" customHeight="1" x14ac:dyDescent="0.25">
      <c r="B64" s="44" t="s">
        <v>54</v>
      </c>
      <c r="C64" s="44"/>
      <c r="D64" s="44"/>
      <c r="E64" s="44"/>
      <c r="F64" s="45"/>
      <c r="G64" s="44"/>
      <c r="H64" s="44"/>
      <c r="BJ64" s="1"/>
      <c r="BK64" s="1"/>
    </row>
    <row r="65" spans="2:63" ht="15" customHeight="1" x14ac:dyDescent="0.25">
      <c r="BJ65" s="1"/>
      <c r="BK65" s="1"/>
    </row>
    <row r="66" spans="2:63" ht="15" customHeight="1" x14ac:dyDescent="0.25">
      <c r="B66" s="142" t="s">
        <v>55</v>
      </c>
      <c r="C66" s="82"/>
      <c r="D66" s="82"/>
      <c r="E66" s="82"/>
      <c r="F66" s="82"/>
      <c r="G66" s="82"/>
      <c r="H66" s="82"/>
      <c r="I66" s="82"/>
      <c r="J66" s="82"/>
      <c r="BJ66" s="1"/>
      <c r="BK66" s="1"/>
    </row>
    <row r="67" spans="2:63" ht="15" customHeight="1" x14ac:dyDescent="0.25">
      <c r="B67" t="s">
        <v>56</v>
      </c>
      <c r="BJ67" s="1"/>
      <c r="BK67" s="1"/>
    </row>
    <row r="68" spans="2:63" ht="15" customHeight="1" x14ac:dyDescent="0.25">
      <c r="B68" t="s">
        <v>57</v>
      </c>
      <c r="BJ68" s="1"/>
      <c r="BK68" s="1"/>
    </row>
    <row r="69" spans="2:63" ht="12" customHeight="1" x14ac:dyDescent="0.25">
      <c r="B69" s="4" t="s">
        <v>58</v>
      </c>
      <c r="BJ69" s="1">
        <v>17</v>
      </c>
      <c r="BK69" s="1">
        <v>0.99946999999999997</v>
      </c>
    </row>
    <row r="70" spans="2:63" ht="12" customHeight="1" x14ac:dyDescent="0.25">
      <c r="B70" s="4" t="s">
        <v>59</v>
      </c>
      <c r="BJ70" s="1">
        <v>18</v>
      </c>
      <c r="BK70" s="1">
        <v>0.99948000000000004</v>
      </c>
    </row>
    <row r="71" spans="2:63" ht="12" customHeight="1" x14ac:dyDescent="0.25">
      <c r="B71" s="4"/>
      <c r="BJ71" s="1">
        <v>19</v>
      </c>
      <c r="BK71" s="1">
        <v>0.99948999999999999</v>
      </c>
    </row>
    <row r="72" spans="2:63" ht="12" customHeight="1" x14ac:dyDescent="0.25">
      <c r="B72" t="s">
        <v>60</v>
      </c>
      <c r="BJ72" s="1">
        <v>20</v>
      </c>
      <c r="BK72" s="1">
        <v>0.99950000000000006</v>
      </c>
    </row>
    <row r="73" spans="2:63" ht="12" customHeight="1" x14ac:dyDescent="0.25">
      <c r="B73" t="s">
        <v>61</v>
      </c>
      <c r="BJ73" s="1">
        <v>21</v>
      </c>
      <c r="BK73" s="1">
        <v>0.99951999999999996</v>
      </c>
    </row>
    <row r="74" spans="2:63" ht="12" customHeight="1" x14ac:dyDescent="0.25">
      <c r="B74" s="4" t="s">
        <v>62</v>
      </c>
      <c r="BJ74" s="1">
        <v>22</v>
      </c>
      <c r="BK74" s="1">
        <v>0.99953000000000003</v>
      </c>
    </row>
    <row r="75" spans="2:63" ht="12" customHeight="1" x14ac:dyDescent="0.25">
      <c r="B75" s="4"/>
      <c r="BJ75" s="1">
        <v>23</v>
      </c>
      <c r="BK75" s="1">
        <v>0.99953000000000003</v>
      </c>
    </row>
    <row r="76" spans="2:63" ht="12" customHeight="1" x14ac:dyDescent="0.25">
      <c r="B76" t="s">
        <v>63</v>
      </c>
      <c r="BJ76" s="1">
        <v>24</v>
      </c>
      <c r="BK76" s="1">
        <v>0.99955000000000005</v>
      </c>
    </row>
    <row r="77" spans="2:63" ht="12" customHeight="1" x14ac:dyDescent="0.25">
      <c r="B77" s="4" t="s">
        <v>64</v>
      </c>
      <c r="BJ77" s="1">
        <v>25</v>
      </c>
      <c r="BK77" s="1">
        <v>0.99956999999999996</v>
      </c>
    </row>
    <row r="78" spans="2:63" ht="12" customHeight="1" x14ac:dyDescent="0.25">
      <c r="B78" s="4" t="s">
        <v>65</v>
      </c>
      <c r="BJ78" s="1">
        <v>26</v>
      </c>
      <c r="BK78" s="1">
        <v>0.99958000000000002</v>
      </c>
    </row>
    <row r="79" spans="2:63" ht="12" customHeight="1" x14ac:dyDescent="0.25">
      <c r="B79" s="4"/>
      <c r="BJ79" s="1">
        <v>27</v>
      </c>
      <c r="BK79" s="1">
        <v>0.99958999999999998</v>
      </c>
    </row>
    <row r="80" spans="2:63" ht="12" customHeight="1" x14ac:dyDescent="0.25">
      <c r="B80" t="s">
        <v>66</v>
      </c>
      <c r="BJ80" s="1">
        <v>28</v>
      </c>
      <c r="BK80" s="1">
        <v>0.99960000000000004</v>
      </c>
    </row>
    <row r="81" spans="2:63" ht="12" customHeight="1" x14ac:dyDescent="0.25">
      <c r="B81" t="s">
        <v>67</v>
      </c>
      <c r="BJ81" s="1">
        <v>29</v>
      </c>
      <c r="BK81" s="1">
        <v>0.99961999999999995</v>
      </c>
    </row>
    <row r="82" spans="2:63" ht="12" customHeight="1" x14ac:dyDescent="0.25">
      <c r="BJ82" s="1">
        <v>30</v>
      </c>
      <c r="BK82" s="1">
        <v>0.99963000000000002</v>
      </c>
    </row>
    <row r="83" spans="2:63" ht="12" customHeight="1" x14ac:dyDescent="0.25">
      <c r="B83" s="4" t="s">
        <v>68</v>
      </c>
      <c r="BJ83" s="1">
        <v>31</v>
      </c>
      <c r="BK83" s="1">
        <v>0.99963999999999997</v>
      </c>
    </row>
    <row r="84" spans="2:63" ht="12" customHeight="1" x14ac:dyDescent="0.25">
      <c r="B84" s="4" t="s">
        <v>69</v>
      </c>
      <c r="BJ84" s="1">
        <v>32</v>
      </c>
      <c r="BK84" s="1">
        <v>0.99965000000000004</v>
      </c>
    </row>
    <row r="85" spans="2:63" ht="12" customHeight="1" x14ac:dyDescent="0.25">
      <c r="B85" s="4" t="s">
        <v>70</v>
      </c>
      <c r="BJ85" s="1">
        <v>33</v>
      </c>
      <c r="BK85" s="1">
        <v>0.99966999999999995</v>
      </c>
    </row>
    <row r="86" spans="2:63" ht="12" customHeight="1" x14ac:dyDescent="0.25">
      <c r="BJ86" s="1">
        <v>34</v>
      </c>
      <c r="BK86" s="1">
        <v>0.99968000000000001</v>
      </c>
    </row>
    <row r="87" spans="2:63" ht="12" customHeight="1" x14ac:dyDescent="0.25">
      <c r="B87" s="46" t="s">
        <v>71</v>
      </c>
      <c r="BJ87" s="1">
        <v>35</v>
      </c>
      <c r="BK87" s="1">
        <v>0.99968999999999997</v>
      </c>
    </row>
    <row r="88" spans="2:63" ht="12" customHeight="1" x14ac:dyDescent="0.25">
      <c r="B88" t="s">
        <v>72</v>
      </c>
      <c r="BJ88" s="1">
        <v>36</v>
      </c>
      <c r="BK88" s="1">
        <v>0.99970000000000003</v>
      </c>
    </row>
    <row r="89" spans="2:63" ht="12" customHeight="1" x14ac:dyDescent="0.25">
      <c r="BJ89" s="1">
        <v>37</v>
      </c>
      <c r="BK89" s="1">
        <v>0.99970999999999999</v>
      </c>
    </row>
    <row r="90" spans="2:63" ht="12" customHeight="1" x14ac:dyDescent="0.25">
      <c r="B90" t="s">
        <v>73</v>
      </c>
      <c r="BJ90" s="1">
        <v>38</v>
      </c>
      <c r="BK90" s="1">
        <v>0.99973000000000001</v>
      </c>
    </row>
    <row r="91" spans="2:63" ht="12" customHeight="1" x14ac:dyDescent="0.25">
      <c r="B91" t="s">
        <v>74</v>
      </c>
      <c r="BJ91" s="1">
        <v>39</v>
      </c>
      <c r="BK91" s="1">
        <v>0.99973999999999996</v>
      </c>
    </row>
    <row r="92" spans="2:63" ht="12" customHeight="1" x14ac:dyDescent="0.25">
      <c r="BJ92" s="1">
        <v>40</v>
      </c>
      <c r="BK92" s="1">
        <v>0.99975000000000003</v>
      </c>
    </row>
    <row r="93" spans="2:63" ht="12" customHeight="1" x14ac:dyDescent="0.25">
      <c r="B93" t="s">
        <v>75</v>
      </c>
      <c r="BJ93" s="1">
        <v>41</v>
      </c>
      <c r="BK93" s="1">
        <v>0.99975999999999998</v>
      </c>
    </row>
    <row r="94" spans="2:63" ht="12" customHeight="1" x14ac:dyDescent="0.25">
      <c r="B94" t="s">
        <v>76</v>
      </c>
      <c r="BJ94" s="1">
        <v>42</v>
      </c>
      <c r="BK94" s="1">
        <v>0.99978</v>
      </c>
    </row>
    <row r="95" spans="2:63" ht="15" customHeight="1" x14ac:dyDescent="0.25">
      <c r="BJ95" s="1">
        <v>43</v>
      </c>
      <c r="BK95" s="1">
        <v>0.99978999999999996</v>
      </c>
    </row>
    <row r="96" spans="2:63" ht="7.5" customHeight="1" x14ac:dyDescent="0.25">
      <c r="B96" s="4" t="s">
        <v>77</v>
      </c>
      <c r="BJ96" s="1">
        <v>44</v>
      </c>
      <c r="BK96" s="1">
        <v>0.99980000000000002</v>
      </c>
    </row>
    <row r="97" spans="2:63" ht="15" customHeight="1" x14ac:dyDescent="0.25">
      <c r="B97" t="s">
        <v>78</v>
      </c>
      <c r="BJ97" s="1">
        <v>45</v>
      </c>
      <c r="BK97" s="1">
        <v>0.99980999999999998</v>
      </c>
    </row>
    <row r="98" spans="2:63" ht="15" customHeight="1" x14ac:dyDescent="0.25">
      <c r="BJ98" s="1">
        <v>46</v>
      </c>
      <c r="BK98" s="1">
        <v>0.99983</v>
      </c>
    </row>
    <row r="99" spans="2:63" ht="7.5" customHeight="1" x14ac:dyDescent="0.25">
      <c r="B99" s="4" t="s">
        <v>79</v>
      </c>
      <c r="BJ99" s="1">
        <v>47</v>
      </c>
      <c r="BK99" s="1">
        <v>0.99983999999999995</v>
      </c>
    </row>
    <row r="100" spans="2:63" ht="15" customHeight="1" x14ac:dyDescent="0.25">
      <c r="B100" t="s">
        <v>80</v>
      </c>
      <c r="BJ100" s="1">
        <v>48</v>
      </c>
      <c r="BK100" s="1">
        <v>0.99985000000000002</v>
      </c>
    </row>
    <row r="101" spans="2:63" ht="15" customHeight="1" x14ac:dyDescent="0.25">
      <c r="B101" s="4" t="s">
        <v>81</v>
      </c>
      <c r="BJ101" s="1">
        <v>49</v>
      </c>
      <c r="BK101" s="1">
        <v>0.99985999999999997</v>
      </c>
    </row>
    <row r="102" spans="2:63" ht="12" customHeight="1" x14ac:dyDescent="0.25">
      <c r="BJ102" s="1">
        <v>50</v>
      </c>
      <c r="BK102" s="1">
        <v>0.99987999999999999</v>
      </c>
    </row>
    <row r="103" spans="2:63" ht="15" customHeight="1" x14ac:dyDescent="0.25">
      <c r="B103" t="s">
        <v>82</v>
      </c>
      <c r="BJ103" s="1">
        <v>51</v>
      </c>
      <c r="BK103" s="1">
        <v>0.99988999999999995</v>
      </c>
    </row>
    <row r="104" spans="2:63" ht="15" customHeight="1" x14ac:dyDescent="0.25">
      <c r="BJ104" s="1">
        <v>52</v>
      </c>
      <c r="BK104" s="1">
        <v>0.99990000000000001</v>
      </c>
    </row>
    <row r="105" spans="2:63" ht="15" customHeight="1" x14ac:dyDescent="0.25">
      <c r="B105" t="s">
        <v>83</v>
      </c>
      <c r="BJ105" s="1">
        <v>53</v>
      </c>
      <c r="BK105" s="1">
        <v>0.99990999999999997</v>
      </c>
    </row>
    <row r="106" spans="2:63" ht="7.5" customHeight="1" x14ac:dyDescent="0.25">
      <c r="BJ106" s="1">
        <v>54</v>
      </c>
      <c r="BK106" s="1">
        <v>0.99992999999999999</v>
      </c>
    </row>
    <row r="107" spans="2:63" ht="15" customHeight="1" x14ac:dyDescent="0.25">
      <c r="B107" t="s">
        <v>84</v>
      </c>
      <c r="BJ107" s="1">
        <v>55</v>
      </c>
      <c r="BK107" s="1">
        <v>0.99994000000000005</v>
      </c>
    </row>
    <row r="108" spans="2:63" ht="7.5" customHeight="1" x14ac:dyDescent="0.25">
      <c r="BJ108" s="1">
        <v>56</v>
      </c>
      <c r="BK108" s="1">
        <v>0.99995000000000001</v>
      </c>
    </row>
    <row r="109" spans="2:63" ht="15" customHeight="1" x14ac:dyDescent="0.25">
      <c r="B109" t="s">
        <v>85</v>
      </c>
      <c r="BJ109" s="1">
        <v>57</v>
      </c>
      <c r="BK109" s="1">
        <v>0.99995999999999996</v>
      </c>
    </row>
    <row r="110" spans="2:63" ht="7.5" customHeight="1" x14ac:dyDescent="0.25">
      <c r="B110" t="s">
        <v>86</v>
      </c>
      <c r="BJ110" s="1">
        <v>58</v>
      </c>
      <c r="BK110" s="1">
        <v>0.99997999999999998</v>
      </c>
    </row>
    <row r="111" spans="2:63" ht="15" customHeight="1" x14ac:dyDescent="0.25">
      <c r="B111" s="4" t="s">
        <v>87</v>
      </c>
      <c r="BJ111" s="1">
        <v>59</v>
      </c>
      <c r="BK111" s="1">
        <v>0.99999000000000005</v>
      </c>
    </row>
    <row r="112" spans="2:63" ht="7.5" customHeight="1" x14ac:dyDescent="0.25">
      <c r="B112" s="4"/>
      <c r="BJ112" s="1">
        <v>60</v>
      </c>
      <c r="BK112" s="1">
        <v>1</v>
      </c>
    </row>
    <row r="113" spans="2:63" ht="15" customHeight="1" x14ac:dyDescent="0.25">
      <c r="B113" t="s">
        <v>88</v>
      </c>
      <c r="BJ113" s="1">
        <v>61</v>
      </c>
      <c r="BK113" s="1">
        <v>1.0000100000000001</v>
      </c>
    </row>
    <row r="114" spans="2:63" ht="15" customHeight="1" x14ac:dyDescent="0.25">
      <c r="BJ114" s="1">
        <v>62</v>
      </c>
      <c r="BK114" s="1">
        <v>1.0000199999999999</v>
      </c>
    </row>
    <row r="115" spans="2:63" ht="15" customHeight="1" x14ac:dyDescent="0.25">
      <c r="B115" t="s">
        <v>89</v>
      </c>
      <c r="BJ115" s="1">
        <v>63</v>
      </c>
      <c r="BK115" s="1">
        <v>1.00004</v>
      </c>
    </row>
    <row r="116" spans="2:63" ht="7.5" customHeight="1" x14ac:dyDescent="0.25">
      <c r="B116" t="s">
        <v>90</v>
      </c>
      <c r="BJ116" s="1">
        <v>64</v>
      </c>
      <c r="BK116" s="1">
        <v>1.0000500000000001</v>
      </c>
    </row>
    <row r="117" spans="2:63" ht="15" customHeight="1" x14ac:dyDescent="0.25">
      <c r="BJ117" s="1">
        <v>65</v>
      </c>
      <c r="BK117" s="1">
        <v>1.0000599999999999</v>
      </c>
    </row>
    <row r="118" spans="2:63" ht="7.5" customHeight="1" x14ac:dyDescent="0.25">
      <c r="B118" t="s">
        <v>91</v>
      </c>
      <c r="BJ118" s="1">
        <v>66</v>
      </c>
      <c r="BK118" s="1">
        <v>1.00007</v>
      </c>
    </row>
    <row r="119" spans="2:63" ht="15" customHeight="1" x14ac:dyDescent="0.25">
      <c r="B119" t="s">
        <v>92</v>
      </c>
      <c r="BJ119" s="1">
        <v>67</v>
      </c>
      <c r="BK119" s="1">
        <v>1.0000899999999999</v>
      </c>
    </row>
    <row r="120" spans="2:63" ht="15" customHeight="1" x14ac:dyDescent="0.25">
      <c r="BJ120" s="1">
        <v>68</v>
      </c>
      <c r="BK120" s="1">
        <v>1.0001</v>
      </c>
    </row>
    <row r="121" spans="2:63" ht="7.5" customHeight="1" x14ac:dyDescent="0.25">
      <c r="B121" t="s">
        <v>93</v>
      </c>
      <c r="BJ121" s="1">
        <v>69</v>
      </c>
      <c r="BK121" s="1">
        <v>1.0001100000000001</v>
      </c>
    </row>
    <row r="122" spans="2:63" ht="15" customHeight="1" x14ac:dyDescent="0.25">
      <c r="BJ122" s="1">
        <v>70</v>
      </c>
      <c r="BK122" s="1">
        <v>1.0001199999999999</v>
      </c>
    </row>
    <row r="123" spans="2:63" ht="15" customHeight="1" x14ac:dyDescent="0.25">
      <c r="B123" t="s">
        <v>94</v>
      </c>
      <c r="BJ123" s="1">
        <v>71</v>
      </c>
      <c r="BK123" s="1">
        <v>1.00014</v>
      </c>
    </row>
    <row r="124" spans="2:63" ht="7.5" customHeight="1" x14ac:dyDescent="0.25">
      <c r="B124" t="s">
        <v>95</v>
      </c>
      <c r="BJ124" s="1">
        <v>72</v>
      </c>
      <c r="BK124" s="1">
        <v>1.0001500000000001</v>
      </c>
    </row>
    <row r="125" spans="2:63" ht="15" customHeight="1" x14ac:dyDescent="0.25">
      <c r="BJ125" s="1">
        <v>73</v>
      </c>
      <c r="BK125" s="1">
        <v>1.0001599999999999</v>
      </c>
    </row>
    <row r="126" spans="2:63" ht="7.5" customHeight="1" x14ac:dyDescent="0.25">
      <c r="B126" s="4" t="s">
        <v>96</v>
      </c>
      <c r="BJ126" s="1">
        <v>74</v>
      </c>
      <c r="BK126" s="1">
        <v>1.00017</v>
      </c>
    </row>
    <row r="127" spans="2:63" ht="15" customHeight="1" x14ac:dyDescent="0.25">
      <c r="B127" s="4"/>
      <c r="BJ127" s="1">
        <v>75</v>
      </c>
      <c r="BK127" s="1">
        <v>1.0001899999999999</v>
      </c>
    </row>
    <row r="128" spans="2:63" ht="15" customHeight="1" x14ac:dyDescent="0.25">
      <c r="B128" t="s">
        <v>97</v>
      </c>
      <c r="BJ128" s="1">
        <v>76</v>
      </c>
      <c r="BK128" s="1">
        <v>1.0002</v>
      </c>
    </row>
    <row r="129" spans="2:63" ht="7.5" customHeight="1" x14ac:dyDescent="0.25">
      <c r="B129" s="4" t="s">
        <v>98</v>
      </c>
      <c r="BJ129" s="1">
        <v>77</v>
      </c>
      <c r="BK129" s="1">
        <v>1.00021</v>
      </c>
    </row>
    <row r="130" spans="2:63" ht="15" customHeight="1" x14ac:dyDescent="0.25">
      <c r="B130" s="47" t="s">
        <v>99</v>
      </c>
      <c r="BJ130" s="1">
        <v>78</v>
      </c>
      <c r="BK130" s="1">
        <v>1.0002200000000001</v>
      </c>
    </row>
    <row r="131" spans="2:63" ht="7.5" customHeight="1" x14ac:dyDescent="0.25">
      <c r="B131" s="47" t="s">
        <v>100</v>
      </c>
      <c r="BJ131" s="1">
        <v>79</v>
      </c>
      <c r="BK131" s="1">
        <v>1.00024</v>
      </c>
    </row>
    <row r="132" spans="2:63" ht="15" customHeight="1" x14ac:dyDescent="0.25">
      <c r="BJ132" s="1">
        <v>80</v>
      </c>
      <c r="BK132" s="1">
        <v>1.0002500000000001</v>
      </c>
    </row>
    <row r="133" spans="2:63" ht="15" customHeight="1" x14ac:dyDescent="0.25">
      <c r="BJ133" s="1">
        <v>81</v>
      </c>
      <c r="BK133" s="1">
        <v>1.0002599999999999</v>
      </c>
    </row>
    <row r="134" spans="2:63" ht="15" customHeight="1" x14ac:dyDescent="0.25">
      <c r="BJ134" s="1">
        <v>82</v>
      </c>
      <c r="BK134" s="1">
        <v>1.00027</v>
      </c>
    </row>
    <row r="135" spans="2:63" ht="15" customHeight="1" x14ac:dyDescent="0.25">
      <c r="BJ135" s="1">
        <v>83</v>
      </c>
      <c r="BK135" s="1">
        <v>1.0002899999999999</v>
      </c>
    </row>
    <row r="136" spans="2:63" ht="15" customHeight="1" x14ac:dyDescent="0.25">
      <c r="BJ136" s="1">
        <v>84</v>
      </c>
      <c r="BK136" s="1">
        <v>1.0003</v>
      </c>
    </row>
    <row r="137" spans="2:63" ht="15" customHeight="1" x14ac:dyDescent="0.25">
      <c r="BJ137" s="1">
        <v>85</v>
      </c>
      <c r="BK137" s="1">
        <v>1.00031</v>
      </c>
    </row>
    <row r="138" spans="2:63" ht="15" customHeight="1" x14ac:dyDescent="0.25">
      <c r="BJ138" s="1">
        <v>86</v>
      </c>
      <c r="BK138" s="1">
        <v>1.0003200000000001</v>
      </c>
    </row>
    <row r="139" spans="2:63" ht="15" customHeight="1" x14ac:dyDescent="0.25">
      <c r="BJ139" s="1">
        <v>87</v>
      </c>
      <c r="BK139" s="1">
        <v>1.0003299999999999</v>
      </c>
    </row>
    <row r="140" spans="2:63" ht="15" customHeight="1" x14ac:dyDescent="0.25">
      <c r="BJ140" s="1">
        <v>88</v>
      </c>
      <c r="BK140" s="1">
        <v>1.0003500000000001</v>
      </c>
    </row>
    <row r="141" spans="2:63" ht="15" customHeight="1" x14ac:dyDescent="0.25">
      <c r="BJ141" s="1">
        <v>89</v>
      </c>
      <c r="BK141" s="1">
        <v>1.0003599999999999</v>
      </c>
    </row>
    <row r="142" spans="2:63" ht="15" customHeight="1" x14ac:dyDescent="0.25">
      <c r="BJ142" s="1">
        <v>90</v>
      </c>
      <c r="BK142" s="1">
        <v>1.00037</v>
      </c>
    </row>
    <row r="143" spans="2:63" ht="15" customHeight="1" x14ac:dyDescent="0.25">
      <c r="BJ143" s="1">
        <v>91</v>
      </c>
      <c r="BK143" s="1">
        <v>1.00038</v>
      </c>
    </row>
    <row r="144" spans="2:63" ht="15" customHeight="1" x14ac:dyDescent="0.25">
      <c r="BJ144" s="1">
        <v>92</v>
      </c>
      <c r="BK144" s="1">
        <v>1.0004</v>
      </c>
    </row>
    <row r="145" spans="2:63" ht="15" customHeight="1" x14ac:dyDescent="0.25">
      <c r="BJ145" s="1">
        <v>93</v>
      </c>
      <c r="BK145" s="1">
        <v>1.00041</v>
      </c>
    </row>
    <row r="146" spans="2:63" ht="15" customHeight="1" x14ac:dyDescent="0.25">
      <c r="BJ146" s="1">
        <v>94</v>
      </c>
      <c r="BK146" s="1">
        <v>100042</v>
      </c>
    </row>
    <row r="147" spans="2:63" ht="15" customHeight="1" x14ac:dyDescent="0.25">
      <c r="BJ147" s="1">
        <v>95</v>
      </c>
      <c r="BK147" s="1">
        <v>1.0004299999999999</v>
      </c>
    </row>
    <row r="148" spans="2:63" ht="15" customHeight="1" x14ac:dyDescent="0.25">
      <c r="BJ148" s="1">
        <v>96</v>
      </c>
      <c r="BK148" s="1">
        <v>1.0004500000000001</v>
      </c>
    </row>
    <row r="149" spans="2:63" ht="15" customHeight="1" x14ac:dyDescent="0.25">
      <c r="BJ149" s="1">
        <v>97</v>
      </c>
      <c r="BK149" s="1">
        <v>1.0004599999999999</v>
      </c>
    </row>
    <row r="150" spans="2:63" ht="15" customHeight="1" x14ac:dyDescent="0.25">
      <c r="BJ150" s="1">
        <v>98</v>
      </c>
      <c r="BK150" s="1">
        <v>1.00047</v>
      </c>
    </row>
    <row r="151" spans="2:63" ht="15" customHeight="1" x14ac:dyDescent="0.25">
      <c r="B151" s="1"/>
      <c r="C151" s="1"/>
      <c r="D151" s="1"/>
      <c r="E151" s="1"/>
      <c r="F151" s="1"/>
      <c r="BJ151" s="1">
        <v>99</v>
      </c>
      <c r="BK151" s="1">
        <v>1.00048</v>
      </c>
    </row>
    <row r="152" spans="2:63" ht="15" customHeight="1" x14ac:dyDescent="0.25">
      <c r="BJ152" s="1">
        <v>100</v>
      </c>
      <c r="BK152" s="1">
        <v>1.0004999999999999</v>
      </c>
    </row>
    <row r="153" spans="2:63" ht="15" customHeight="1" x14ac:dyDescent="0.25">
      <c r="BJ153" s="1">
        <v>101</v>
      </c>
      <c r="BK153" s="1">
        <v>1.00051</v>
      </c>
    </row>
    <row r="154" spans="2:63" ht="18" customHeight="1" x14ac:dyDescent="0.45">
      <c r="B154" s="1"/>
      <c r="C154" s="48"/>
      <c r="D154" s="1"/>
      <c r="BJ154" s="1">
        <v>102</v>
      </c>
      <c r="BK154" s="1">
        <v>1.0005200000000001</v>
      </c>
    </row>
    <row r="155" spans="2:63" ht="15" customHeight="1" x14ac:dyDescent="0.25">
      <c r="B155" s="1"/>
      <c r="C155" s="1"/>
      <c r="D155" s="1"/>
      <c r="BJ155" s="1">
        <v>103</v>
      </c>
      <c r="BK155" s="1">
        <v>1.0005299999999999</v>
      </c>
    </row>
    <row r="156" spans="2:63" ht="15" customHeight="1" x14ac:dyDescent="0.25">
      <c r="B156" s="1"/>
      <c r="C156" s="1"/>
      <c r="D156" s="1"/>
      <c r="BJ156" s="1">
        <v>104</v>
      </c>
      <c r="BK156" s="1">
        <v>1.0005500000000001</v>
      </c>
    </row>
    <row r="157" spans="2:63" ht="15" customHeight="1" x14ac:dyDescent="0.25">
      <c r="B157" s="1"/>
      <c r="C157" s="1"/>
      <c r="D157" s="1"/>
      <c r="BJ157" s="1">
        <v>105</v>
      </c>
      <c r="BK157" s="1">
        <v>1.0005599999999999</v>
      </c>
    </row>
    <row r="158" spans="2:63" ht="18" customHeight="1" x14ac:dyDescent="0.45">
      <c r="B158" s="1"/>
      <c r="C158" s="48"/>
      <c r="D158" s="1"/>
      <c r="BJ158" s="1">
        <v>106</v>
      </c>
      <c r="BK158" s="1">
        <v>1.00057</v>
      </c>
    </row>
    <row r="159" spans="2:63" ht="15" customHeight="1" x14ac:dyDescent="0.25">
      <c r="B159" s="1"/>
      <c r="C159" s="1"/>
      <c r="D159" s="1"/>
      <c r="BJ159" s="1">
        <v>107</v>
      </c>
      <c r="BK159" s="1">
        <v>1.00058</v>
      </c>
    </row>
    <row r="160" spans="2:63" ht="18" customHeight="1" x14ac:dyDescent="0.45">
      <c r="B160" s="1"/>
      <c r="C160" s="48"/>
      <c r="D160" s="1"/>
      <c r="BJ160" s="1">
        <v>108</v>
      </c>
      <c r="BK160" s="1">
        <v>1.0005999999999999</v>
      </c>
    </row>
    <row r="161" spans="2:63" ht="18" customHeight="1" x14ac:dyDescent="0.45">
      <c r="B161" s="1"/>
      <c r="C161" s="48"/>
      <c r="D161" s="1"/>
      <c r="BJ161" s="1">
        <v>109</v>
      </c>
      <c r="BK161" s="1">
        <v>1.00061</v>
      </c>
    </row>
    <row r="162" spans="2:63" ht="18" customHeight="1" x14ac:dyDescent="0.45">
      <c r="B162" s="1"/>
      <c r="C162" s="48"/>
      <c r="D162" s="1"/>
      <c r="BJ162" s="1">
        <v>110</v>
      </c>
      <c r="BK162" s="1">
        <v>1.0006200000000001</v>
      </c>
    </row>
    <row r="163" spans="2:63" ht="18" customHeight="1" x14ac:dyDescent="0.45">
      <c r="B163" s="1"/>
      <c r="C163" s="48"/>
      <c r="D163" s="1"/>
      <c r="BJ163" s="1">
        <v>111</v>
      </c>
      <c r="BK163" s="1">
        <v>1.0006299999999999</v>
      </c>
    </row>
    <row r="164" spans="2:63" ht="18" customHeight="1" x14ac:dyDescent="0.45">
      <c r="B164" s="1"/>
      <c r="C164" s="48"/>
      <c r="D164" s="1"/>
      <c r="BJ164" s="1">
        <v>112</v>
      </c>
      <c r="BK164" s="1">
        <v>1.00064</v>
      </c>
    </row>
    <row r="165" spans="2:63" ht="18" customHeight="1" x14ac:dyDescent="0.45">
      <c r="B165" s="1"/>
      <c r="C165" s="48"/>
      <c r="D165" s="1"/>
      <c r="BJ165" s="1">
        <v>113</v>
      </c>
      <c r="BK165" s="1">
        <v>1.0006600000000001</v>
      </c>
    </row>
    <row r="166" spans="2:63" ht="15" customHeight="1" x14ac:dyDescent="0.25">
      <c r="B166" s="1"/>
      <c r="C166" s="1"/>
      <c r="D166" s="1"/>
      <c r="BJ166" s="1">
        <v>114</v>
      </c>
      <c r="BK166" s="1">
        <v>1.0006699999999999</v>
      </c>
    </row>
    <row r="167" spans="2:63" ht="15" customHeight="1" x14ac:dyDescent="0.25">
      <c r="B167" s="1"/>
      <c r="C167" s="1"/>
      <c r="D167" s="1"/>
      <c r="BJ167" s="1">
        <v>115</v>
      </c>
      <c r="BK167" s="1">
        <v>1.00068</v>
      </c>
    </row>
    <row r="168" spans="2:63" ht="15" customHeight="1" x14ac:dyDescent="0.25">
      <c r="B168" s="1"/>
      <c r="C168" s="1"/>
      <c r="D168" s="1"/>
      <c r="BJ168" s="1">
        <v>116</v>
      </c>
      <c r="BK168" s="1">
        <v>1.0006900000000001</v>
      </c>
    </row>
    <row r="169" spans="2:63" ht="18" customHeight="1" x14ac:dyDescent="0.45">
      <c r="B169" s="1"/>
      <c r="C169" s="48"/>
      <c r="D169" s="1"/>
      <c r="BJ169" s="1">
        <v>117</v>
      </c>
      <c r="BK169" s="1">
        <v>1.00071</v>
      </c>
    </row>
    <row r="170" spans="2:63" ht="18" customHeight="1" x14ac:dyDescent="0.45">
      <c r="B170" s="1"/>
      <c r="C170" s="48"/>
      <c r="D170" s="1"/>
      <c r="BJ170" s="1">
        <v>118</v>
      </c>
      <c r="BK170" s="1">
        <v>1.0007200000000001</v>
      </c>
    </row>
    <row r="171" spans="2:63" ht="18" customHeight="1" x14ac:dyDescent="0.45">
      <c r="B171" s="1"/>
      <c r="C171" s="48"/>
      <c r="D171" s="1"/>
      <c r="BJ171" s="1">
        <v>119</v>
      </c>
      <c r="BK171" s="1">
        <v>1.0007299999999999</v>
      </c>
    </row>
    <row r="172" spans="2:63" ht="15" customHeight="1" x14ac:dyDescent="0.25">
      <c r="B172" s="1"/>
      <c r="C172" s="1"/>
      <c r="D172" s="1"/>
      <c r="BJ172" s="1">
        <v>120</v>
      </c>
      <c r="BK172" s="1">
        <v>1.00074</v>
      </c>
    </row>
    <row r="173" spans="2:63" ht="15" customHeight="1" x14ac:dyDescent="0.25">
      <c r="B173" s="1"/>
      <c r="C173" s="1"/>
      <c r="D173" s="1"/>
      <c r="BJ173" s="1">
        <v>121</v>
      </c>
      <c r="BK173" s="1">
        <v>1.0007600000000001</v>
      </c>
    </row>
    <row r="174" spans="2:63" ht="15" customHeight="1" x14ac:dyDescent="0.25">
      <c r="B174" s="1"/>
      <c r="C174" s="1"/>
      <c r="D174" s="1"/>
      <c r="BJ174" s="1">
        <v>122</v>
      </c>
      <c r="BK174" s="1">
        <v>1.0007699999999999</v>
      </c>
    </row>
    <row r="175" spans="2:63" ht="15" customHeight="1" x14ac:dyDescent="0.25">
      <c r="B175" s="1"/>
      <c r="C175" s="1"/>
      <c r="D175" s="1"/>
      <c r="BJ175" s="1">
        <v>123</v>
      </c>
      <c r="BK175" s="1">
        <v>1.00078</v>
      </c>
    </row>
    <row r="176" spans="2:63" ht="15" customHeight="1" x14ac:dyDescent="0.25">
      <c r="B176" s="1"/>
      <c r="C176" s="1"/>
      <c r="D176" s="1"/>
      <c r="BJ176" s="1">
        <v>124</v>
      </c>
      <c r="BK176" s="1">
        <v>1.0007900000000001</v>
      </c>
    </row>
    <row r="177" spans="2:63" ht="15" customHeight="1" x14ac:dyDescent="0.25">
      <c r="B177" s="1"/>
      <c r="C177" s="1"/>
      <c r="D177" s="1"/>
      <c r="BJ177" s="1">
        <v>125</v>
      </c>
      <c r="BK177" s="1">
        <v>1.00081</v>
      </c>
    </row>
    <row r="178" spans="2:63" ht="15" customHeight="1" x14ac:dyDescent="0.25">
      <c r="B178" s="1"/>
      <c r="C178" s="1"/>
      <c r="D178" s="1"/>
      <c r="BJ178" s="1">
        <v>126</v>
      </c>
      <c r="BK178" s="1">
        <v>1.00082</v>
      </c>
    </row>
    <row r="179" spans="2:63" ht="15" customHeight="1" x14ac:dyDescent="0.25">
      <c r="B179" s="1"/>
      <c r="C179" s="1"/>
      <c r="D179" s="1"/>
      <c r="BJ179" s="1">
        <v>127</v>
      </c>
      <c r="BK179" s="1">
        <v>1.0008300000000001</v>
      </c>
    </row>
    <row r="180" spans="2:63" ht="15" customHeight="1" x14ac:dyDescent="0.25">
      <c r="B180" s="1"/>
      <c r="C180" s="1"/>
      <c r="D180" s="1"/>
      <c r="BJ180" s="1">
        <v>128</v>
      </c>
      <c r="BK180" s="1">
        <v>1.00084</v>
      </c>
    </row>
    <row r="181" spans="2:63" ht="15" customHeight="1" x14ac:dyDescent="0.25">
      <c r="B181" s="1"/>
      <c r="C181" s="1"/>
      <c r="D181" s="1"/>
      <c r="BJ181" s="1">
        <v>129</v>
      </c>
      <c r="BK181" s="1">
        <v>1.0008600000000001</v>
      </c>
    </row>
    <row r="182" spans="2:63" ht="15" customHeight="1" x14ac:dyDescent="0.25">
      <c r="B182" s="1"/>
      <c r="C182" s="1"/>
      <c r="D182" s="1"/>
      <c r="BJ182" s="1">
        <v>130</v>
      </c>
      <c r="BK182" s="1">
        <v>1.0008699999999999</v>
      </c>
    </row>
    <row r="183" spans="2:63" ht="15" customHeight="1" x14ac:dyDescent="0.25">
      <c r="B183" s="1"/>
      <c r="C183" s="1"/>
      <c r="D183" s="1"/>
      <c r="BJ183" s="1">
        <v>131</v>
      </c>
      <c r="BK183" s="1">
        <v>1.00088</v>
      </c>
    </row>
    <row r="184" spans="2:63" ht="15" customHeight="1" x14ac:dyDescent="0.25">
      <c r="B184" s="1"/>
      <c r="C184" s="1"/>
      <c r="D184" s="1"/>
      <c r="BJ184" s="1">
        <v>132</v>
      </c>
      <c r="BK184" s="1">
        <v>1.0008900000000001</v>
      </c>
    </row>
    <row r="185" spans="2:63" ht="15" customHeight="1" x14ac:dyDescent="0.25">
      <c r="B185" s="1"/>
      <c r="C185" s="1"/>
      <c r="D185" s="1"/>
      <c r="BJ185" s="1">
        <v>133</v>
      </c>
      <c r="BK185" s="1">
        <v>1.00091</v>
      </c>
    </row>
    <row r="186" spans="2:63" ht="15" customHeight="1" x14ac:dyDescent="0.25">
      <c r="B186" s="1"/>
      <c r="C186" s="1"/>
      <c r="D186" s="1"/>
      <c r="BJ186" s="1">
        <v>134</v>
      </c>
      <c r="BK186" s="1">
        <v>1.00092</v>
      </c>
    </row>
    <row r="187" spans="2:63" ht="15" customHeight="1" x14ac:dyDescent="0.25">
      <c r="B187" s="1"/>
      <c r="C187" s="1"/>
      <c r="D187" s="1"/>
      <c r="BJ187" s="1">
        <v>135</v>
      </c>
      <c r="BK187" s="1">
        <v>1.0009300000000001</v>
      </c>
    </row>
    <row r="188" spans="2:63" ht="15" customHeight="1" x14ac:dyDescent="0.25">
      <c r="B188" s="1"/>
      <c r="C188" s="1"/>
      <c r="D188" s="1"/>
      <c r="BJ188" s="1">
        <v>136</v>
      </c>
      <c r="BK188" s="1">
        <v>1.0009399999999999</v>
      </c>
    </row>
    <row r="189" spans="2:63" ht="15" customHeight="1" x14ac:dyDescent="0.25">
      <c r="B189" s="1"/>
      <c r="C189" s="1"/>
      <c r="D189" s="1"/>
      <c r="BJ189" s="1">
        <v>137</v>
      </c>
      <c r="BK189" s="1">
        <v>1.0009600000000001</v>
      </c>
    </row>
    <row r="190" spans="2:63" ht="15" customHeight="1" x14ac:dyDescent="0.25">
      <c r="B190" s="1"/>
      <c r="C190" s="1"/>
      <c r="D190" s="1"/>
      <c r="BJ190" s="1">
        <v>138</v>
      </c>
      <c r="BK190" s="1">
        <v>1.0009699999999999</v>
      </c>
    </row>
    <row r="191" spans="2:63" ht="15" customHeight="1" x14ac:dyDescent="0.25">
      <c r="B191" s="1"/>
      <c r="C191" s="1"/>
      <c r="D191" s="1"/>
      <c r="BJ191" s="1">
        <v>139</v>
      </c>
      <c r="BK191" s="1">
        <v>1.00098</v>
      </c>
    </row>
    <row r="192" spans="2:63" ht="15" customHeight="1" x14ac:dyDescent="0.25">
      <c r="B192" s="1"/>
      <c r="C192" s="1"/>
      <c r="D192" s="1"/>
      <c r="BJ192" s="1">
        <v>140</v>
      </c>
      <c r="BK192" s="1">
        <v>1.00099</v>
      </c>
    </row>
    <row r="193" spans="2:63" ht="15" customHeight="1" x14ac:dyDescent="0.25">
      <c r="B193" s="1"/>
      <c r="C193" s="1"/>
      <c r="D193" s="1"/>
      <c r="BJ193" s="1">
        <v>141</v>
      </c>
      <c r="BK193" s="1">
        <v>1.0009999999999999</v>
      </c>
    </row>
    <row r="194" spans="2:63" ht="15" customHeight="1" x14ac:dyDescent="0.25">
      <c r="B194" s="1"/>
      <c r="C194" s="1"/>
      <c r="D194" s="1"/>
      <c r="BJ194" s="1">
        <v>142</v>
      </c>
      <c r="BK194" s="1">
        <v>1.00102</v>
      </c>
    </row>
    <row r="195" spans="2:63" ht="15" customHeight="1" x14ac:dyDescent="0.25">
      <c r="B195" s="1"/>
      <c r="C195" s="1"/>
      <c r="D195" s="1"/>
      <c r="BJ195" s="1">
        <v>143</v>
      </c>
      <c r="BK195" s="1">
        <v>1.0010300000000001</v>
      </c>
    </row>
    <row r="196" spans="2:63" ht="15" customHeight="1" x14ac:dyDescent="0.25">
      <c r="B196" s="1"/>
      <c r="C196" s="1"/>
      <c r="D196" s="1"/>
      <c r="BJ196" s="1">
        <v>144</v>
      </c>
      <c r="BK196" s="1">
        <v>1.0010399999999999</v>
      </c>
    </row>
    <row r="197" spans="2:63" ht="15" customHeight="1" x14ac:dyDescent="0.25">
      <c r="B197" s="1"/>
      <c r="C197" s="1"/>
      <c r="D197" s="1"/>
      <c r="BJ197" s="1">
        <v>145</v>
      </c>
      <c r="BK197" s="1">
        <v>1.00105</v>
      </c>
    </row>
    <row r="198" spans="2:63" ht="15" customHeight="1" x14ac:dyDescent="0.25">
      <c r="B198" s="1"/>
      <c r="C198" s="1"/>
      <c r="D198" s="1"/>
      <c r="BJ198" s="1">
        <v>146</v>
      </c>
      <c r="BK198" s="1">
        <v>1.0010699999999999</v>
      </c>
    </row>
    <row r="199" spans="2:63" ht="15" customHeight="1" x14ac:dyDescent="0.25">
      <c r="B199" s="1"/>
      <c r="C199" s="1"/>
      <c r="D199" s="1"/>
      <c r="BJ199" s="1">
        <v>147</v>
      </c>
      <c r="BK199" s="1">
        <v>1.00108</v>
      </c>
    </row>
    <row r="200" spans="2:63" ht="15" customHeight="1" x14ac:dyDescent="0.25">
      <c r="B200" s="1"/>
      <c r="C200" s="1"/>
      <c r="D200" s="1"/>
      <c r="BJ200" s="1">
        <v>148</v>
      </c>
      <c r="BK200" s="1">
        <v>1.00109</v>
      </c>
    </row>
    <row r="201" spans="2:63" ht="15" customHeight="1" x14ac:dyDescent="0.25">
      <c r="B201" s="1"/>
      <c r="C201" s="1"/>
      <c r="D201" s="1"/>
      <c r="BJ201" s="1">
        <v>149</v>
      </c>
      <c r="BK201" s="1">
        <v>1.0011000000000001</v>
      </c>
    </row>
    <row r="202" spans="2:63" ht="15" customHeight="1" x14ac:dyDescent="0.25">
      <c r="B202" s="1"/>
      <c r="C202" s="1"/>
      <c r="D202" s="1"/>
      <c r="BJ202" s="1">
        <v>150</v>
      </c>
      <c r="BK202" s="1">
        <v>1.00112</v>
      </c>
    </row>
    <row r="203" spans="2:63" ht="15" customHeight="1" x14ac:dyDescent="0.25">
      <c r="B203" s="1"/>
      <c r="C203" s="1"/>
      <c r="D203" s="1"/>
      <c r="BJ203" s="1">
        <v>151</v>
      </c>
      <c r="BK203" s="1">
        <v>1.0011300000000001</v>
      </c>
    </row>
    <row r="204" spans="2:63" ht="15" customHeight="1" x14ac:dyDescent="0.25">
      <c r="B204" s="1"/>
      <c r="C204" s="1"/>
      <c r="D204" s="1"/>
      <c r="BJ204" s="1">
        <v>152</v>
      </c>
      <c r="BK204" s="1">
        <v>1.0011399999999999</v>
      </c>
    </row>
    <row r="205" spans="2:63" ht="15" customHeight="1" x14ac:dyDescent="0.25">
      <c r="B205" s="1"/>
      <c r="C205" s="1"/>
      <c r="D205" s="1"/>
      <c r="BJ205" s="1">
        <v>153</v>
      </c>
      <c r="BK205" s="1">
        <v>1.00115</v>
      </c>
    </row>
    <row r="206" spans="2:63" ht="15" customHeight="1" x14ac:dyDescent="0.25">
      <c r="B206" s="1"/>
      <c r="C206" s="1"/>
      <c r="D206" s="1"/>
      <c r="BJ206" s="1">
        <v>154</v>
      </c>
      <c r="BK206" s="1">
        <v>1.0011699999999999</v>
      </c>
    </row>
    <row r="207" spans="2:63" ht="15" customHeight="1" x14ac:dyDescent="0.25">
      <c r="B207" s="1"/>
      <c r="C207" s="1"/>
      <c r="D207" s="1"/>
      <c r="BJ207" s="1">
        <v>155</v>
      </c>
      <c r="BK207" s="1">
        <v>1.00118</v>
      </c>
    </row>
    <row r="208" spans="2:63" ht="15" customHeight="1" x14ac:dyDescent="0.25">
      <c r="B208" s="1"/>
      <c r="C208" s="1"/>
      <c r="D208" s="1"/>
      <c r="BJ208" s="1">
        <v>156</v>
      </c>
      <c r="BK208" s="1">
        <v>1.00119</v>
      </c>
    </row>
    <row r="209" spans="2:63" ht="15" customHeight="1" x14ac:dyDescent="0.25">
      <c r="B209" s="1"/>
      <c r="C209" s="1"/>
      <c r="D209" s="1"/>
      <c r="BJ209" s="1">
        <v>157</v>
      </c>
      <c r="BK209" s="1">
        <v>1.0012000000000001</v>
      </c>
    </row>
    <row r="210" spans="2:63" ht="15" customHeight="1" x14ac:dyDescent="0.25">
      <c r="B210" s="1"/>
      <c r="C210" s="1"/>
      <c r="D210" s="1"/>
      <c r="BJ210" s="1">
        <v>158</v>
      </c>
      <c r="BK210" s="1">
        <v>1.00122</v>
      </c>
    </row>
    <row r="211" spans="2:63" ht="15" customHeight="1" x14ac:dyDescent="0.25">
      <c r="B211" s="1"/>
      <c r="C211" s="1"/>
      <c r="D211" s="1"/>
      <c r="BJ211" s="1">
        <v>159</v>
      </c>
      <c r="BK211" s="1">
        <v>1.0012300000000001</v>
      </c>
    </row>
    <row r="212" spans="2:63" ht="15" customHeight="1" x14ac:dyDescent="0.25">
      <c r="B212" s="1"/>
      <c r="C212" s="1"/>
      <c r="D212" s="1"/>
      <c r="BJ212" s="1">
        <v>160</v>
      </c>
      <c r="BK212" s="1">
        <v>1.0012399999999999</v>
      </c>
    </row>
    <row r="213" spans="2:63" ht="15" customHeight="1" x14ac:dyDescent="0.25">
      <c r="B213" s="1"/>
      <c r="C213" s="1"/>
      <c r="D213" s="1"/>
      <c r="BJ213" s="1">
        <v>161</v>
      </c>
      <c r="BK213" s="1">
        <v>1.00125</v>
      </c>
    </row>
    <row r="214" spans="2:63" ht="15" customHeight="1" x14ac:dyDescent="0.25">
      <c r="B214" s="1"/>
      <c r="C214" s="1"/>
      <c r="D214" s="1"/>
      <c r="BJ214" s="1">
        <v>162</v>
      </c>
      <c r="BK214" s="1">
        <v>1.0012700000000001</v>
      </c>
    </row>
    <row r="215" spans="2:63" ht="15" customHeight="1" x14ac:dyDescent="0.25">
      <c r="B215" s="1"/>
      <c r="C215" s="1"/>
      <c r="D215" s="1"/>
      <c r="BJ215" s="1">
        <v>163</v>
      </c>
      <c r="BK215" s="1">
        <v>1.0012799999999999</v>
      </c>
    </row>
    <row r="216" spans="2:63" ht="15" customHeight="1" x14ac:dyDescent="0.25">
      <c r="B216" s="1"/>
      <c r="C216" s="1"/>
      <c r="D216" s="1"/>
      <c r="BJ216" s="1">
        <v>164</v>
      </c>
      <c r="BK216" s="1">
        <v>1.00129</v>
      </c>
    </row>
    <row r="217" spans="2:63" ht="15" customHeight="1" x14ac:dyDescent="0.25">
      <c r="B217" s="1"/>
      <c r="C217" s="1"/>
      <c r="D217" s="1"/>
      <c r="BJ217" s="1">
        <v>165</v>
      </c>
      <c r="BK217" s="1">
        <v>1.0013000000000001</v>
      </c>
    </row>
    <row r="218" spans="2:63" ht="15" customHeight="1" x14ac:dyDescent="0.25">
      <c r="B218" s="1"/>
      <c r="C218" s="1"/>
      <c r="D218" s="1"/>
      <c r="BJ218" s="1">
        <v>166</v>
      </c>
      <c r="BK218" s="1">
        <v>1.0013099999999999</v>
      </c>
    </row>
    <row r="219" spans="2:63" ht="15" customHeight="1" x14ac:dyDescent="0.25">
      <c r="B219" s="1"/>
      <c r="C219" s="1"/>
      <c r="D219" s="1"/>
      <c r="BJ219" s="1">
        <v>167</v>
      </c>
      <c r="BK219" s="1">
        <v>1.0013300000000001</v>
      </c>
    </row>
    <row r="220" spans="2:63" ht="15" customHeight="1" x14ac:dyDescent="0.25">
      <c r="B220" s="1"/>
      <c r="C220" s="1"/>
      <c r="D220" s="1"/>
      <c r="BJ220" s="1">
        <v>168</v>
      </c>
      <c r="BK220" s="1">
        <v>1.0013399999999999</v>
      </c>
    </row>
    <row r="221" spans="2:63" ht="15" customHeight="1" x14ac:dyDescent="0.25">
      <c r="B221" s="1"/>
      <c r="C221" s="1"/>
      <c r="D221" s="1"/>
      <c r="BJ221" s="1">
        <v>169</v>
      </c>
      <c r="BK221" s="1">
        <v>1.00135</v>
      </c>
    </row>
    <row r="222" spans="2:63" ht="15" customHeight="1" x14ac:dyDescent="0.25">
      <c r="B222" s="1"/>
      <c r="C222" s="1"/>
      <c r="D222" s="1"/>
      <c r="BJ222" s="1">
        <v>170</v>
      </c>
      <c r="BK222" s="1">
        <v>1.00136</v>
      </c>
    </row>
    <row r="223" spans="2:63" ht="15" customHeight="1" x14ac:dyDescent="0.25">
      <c r="B223" s="1"/>
      <c r="C223" s="1"/>
      <c r="D223" s="1"/>
      <c r="BJ223" s="1">
        <v>171</v>
      </c>
      <c r="BK223" s="1">
        <v>1.0013799999999999</v>
      </c>
    </row>
    <row r="224" spans="2:63" ht="15" customHeight="1" x14ac:dyDescent="0.25">
      <c r="B224" s="1"/>
      <c r="C224" s="1"/>
      <c r="D224" s="1"/>
      <c r="BJ224" s="1">
        <v>172</v>
      </c>
      <c r="BK224" s="1">
        <v>1.00139</v>
      </c>
    </row>
    <row r="225" spans="2:63" ht="15" customHeight="1" x14ac:dyDescent="0.25">
      <c r="B225" s="1"/>
      <c r="C225" s="1"/>
      <c r="D225" s="1"/>
      <c r="BJ225" s="1">
        <v>173</v>
      </c>
      <c r="BK225" s="1">
        <v>1.0014000000000001</v>
      </c>
    </row>
    <row r="226" spans="2:63" ht="15" customHeight="1" x14ac:dyDescent="0.25">
      <c r="B226" s="1"/>
      <c r="C226" s="1"/>
      <c r="D226" s="1"/>
      <c r="BJ226" s="1">
        <v>174</v>
      </c>
      <c r="BK226" s="1">
        <v>1.0014099999999999</v>
      </c>
    </row>
    <row r="227" spans="2:63" ht="15" customHeight="1" x14ac:dyDescent="0.25">
      <c r="B227" s="1"/>
      <c r="C227" s="1"/>
      <c r="D227" s="1"/>
      <c r="BJ227" s="1">
        <v>175</v>
      </c>
      <c r="BK227" s="1">
        <v>1.00143</v>
      </c>
    </row>
    <row r="228" spans="2:63" ht="15" customHeight="1" x14ac:dyDescent="0.25">
      <c r="B228" s="1"/>
      <c r="C228" s="1"/>
      <c r="D228" s="1"/>
      <c r="BJ228" s="1">
        <v>176</v>
      </c>
      <c r="BK228" s="1">
        <v>1.0014400000000001</v>
      </c>
    </row>
    <row r="229" spans="2:63" ht="15" customHeight="1" x14ac:dyDescent="0.25">
      <c r="B229" s="1"/>
      <c r="C229" s="1"/>
      <c r="D229" s="1"/>
      <c r="BJ229" s="1">
        <v>177</v>
      </c>
      <c r="BK229" s="1">
        <v>1.00145</v>
      </c>
    </row>
    <row r="230" spans="2:63" ht="15" customHeight="1" x14ac:dyDescent="0.25">
      <c r="B230" s="1"/>
      <c r="C230" s="1"/>
      <c r="D230" s="1"/>
      <c r="BJ230" s="1">
        <v>178</v>
      </c>
      <c r="BK230" s="1">
        <v>1.00146</v>
      </c>
    </row>
    <row r="231" spans="2:63" ht="15" customHeight="1" x14ac:dyDescent="0.25">
      <c r="B231" s="1"/>
      <c r="C231" s="1"/>
      <c r="D231" s="1"/>
      <c r="BJ231" s="1">
        <v>179</v>
      </c>
      <c r="BK231" s="1">
        <v>1.0014799999999999</v>
      </c>
    </row>
    <row r="232" spans="2:63" ht="15" customHeight="1" x14ac:dyDescent="0.25">
      <c r="B232" s="1"/>
      <c r="C232" s="1"/>
      <c r="D232" s="1"/>
      <c r="BJ232" s="1">
        <v>180</v>
      </c>
      <c r="BK232" s="1">
        <v>1.00149</v>
      </c>
    </row>
    <row r="233" spans="2:63" ht="15" customHeight="1" x14ac:dyDescent="0.25">
      <c r="B233" s="1"/>
      <c r="C233" s="1"/>
      <c r="D233" s="1"/>
      <c r="BJ233" s="1">
        <v>181</v>
      </c>
      <c r="BK233" s="1">
        <v>1.0015000000000001</v>
      </c>
    </row>
    <row r="234" spans="2:63" ht="15" customHeight="1" x14ac:dyDescent="0.25">
      <c r="B234" s="1"/>
      <c r="C234" s="1"/>
      <c r="D234" s="1"/>
      <c r="BJ234" s="1">
        <v>182</v>
      </c>
      <c r="BK234" s="1">
        <v>1.0015099999999999</v>
      </c>
    </row>
    <row r="235" spans="2:63" ht="15" customHeight="1" x14ac:dyDescent="0.25">
      <c r="B235" s="1"/>
      <c r="C235" s="1"/>
      <c r="D235" s="1"/>
      <c r="BJ235" s="1">
        <v>183</v>
      </c>
      <c r="BK235" s="1">
        <v>1.00153</v>
      </c>
    </row>
    <row r="236" spans="2:63" ht="15" customHeight="1" x14ac:dyDescent="0.25">
      <c r="B236" s="1"/>
      <c r="C236" s="1"/>
      <c r="D236" s="1"/>
      <c r="BJ236" s="1">
        <v>184</v>
      </c>
      <c r="BK236" s="1">
        <v>1.0015400000000001</v>
      </c>
    </row>
    <row r="237" spans="2:63" ht="15" customHeight="1" x14ac:dyDescent="0.25">
      <c r="B237" s="1"/>
      <c r="C237" s="1"/>
      <c r="D237" s="1"/>
      <c r="BJ237" s="1">
        <v>185</v>
      </c>
      <c r="BK237" s="1">
        <v>1.0015499999999999</v>
      </c>
    </row>
    <row r="238" spans="2:63" ht="15" customHeight="1" x14ac:dyDescent="0.25">
      <c r="B238" s="1"/>
      <c r="C238" s="1"/>
      <c r="D238" s="1"/>
      <c r="BJ238" s="1">
        <v>186</v>
      </c>
      <c r="BK238" s="1">
        <v>1.00156</v>
      </c>
    </row>
    <row r="239" spans="2:63" ht="15" customHeight="1" x14ac:dyDescent="0.25">
      <c r="B239" s="1"/>
      <c r="C239" s="1"/>
      <c r="D239" s="1"/>
      <c r="BJ239" s="1">
        <v>187</v>
      </c>
      <c r="BK239" s="1">
        <v>1.0015799999999999</v>
      </c>
    </row>
    <row r="240" spans="2:63" ht="15" customHeight="1" x14ac:dyDescent="0.25">
      <c r="B240" s="1"/>
      <c r="C240" s="1"/>
      <c r="D240" s="1"/>
      <c r="BJ240" s="1">
        <v>188</v>
      </c>
      <c r="BK240" s="1">
        <v>1.00159</v>
      </c>
    </row>
    <row r="241" spans="2:63" ht="15" customHeight="1" x14ac:dyDescent="0.25">
      <c r="B241" s="1"/>
      <c r="C241" s="1"/>
      <c r="D241" s="1"/>
      <c r="BJ241" s="1">
        <v>189</v>
      </c>
      <c r="BK241" s="1">
        <v>1.0016</v>
      </c>
    </row>
    <row r="242" spans="2:63" ht="15" customHeight="1" x14ac:dyDescent="0.25">
      <c r="B242" s="1"/>
      <c r="C242" s="1"/>
      <c r="D242" s="1"/>
      <c r="BJ242" s="1">
        <v>190</v>
      </c>
      <c r="BK242" s="1">
        <v>1.0016099999999999</v>
      </c>
    </row>
    <row r="243" spans="2:63" ht="15" customHeight="1" x14ac:dyDescent="0.25">
      <c r="B243" s="1"/>
      <c r="C243" s="1"/>
      <c r="D243" s="1"/>
      <c r="BJ243" s="1">
        <v>191</v>
      </c>
      <c r="BK243" s="1">
        <v>1.00163</v>
      </c>
    </row>
    <row r="244" spans="2:63" ht="15" customHeight="1" x14ac:dyDescent="0.25">
      <c r="B244" s="1"/>
      <c r="C244" s="1"/>
      <c r="D244" s="1"/>
      <c r="BJ244" s="1">
        <v>192</v>
      </c>
      <c r="BK244" s="1">
        <v>1.0016400000000001</v>
      </c>
    </row>
    <row r="245" spans="2:63" ht="15" customHeight="1" x14ac:dyDescent="0.25">
      <c r="B245" s="1"/>
      <c r="C245" s="1"/>
      <c r="D245" s="1"/>
      <c r="BJ245" s="1">
        <v>193</v>
      </c>
      <c r="BK245" s="1">
        <v>1.0016499999999999</v>
      </c>
    </row>
    <row r="246" spans="2:63" ht="15" customHeight="1" x14ac:dyDescent="0.25">
      <c r="B246" s="1"/>
      <c r="C246" s="1"/>
      <c r="D246" s="1"/>
      <c r="BJ246" s="1">
        <v>194</v>
      </c>
      <c r="BK246" s="1">
        <v>1.00166</v>
      </c>
    </row>
    <row r="247" spans="2:63" ht="15" customHeight="1" x14ac:dyDescent="0.25">
      <c r="B247" s="1"/>
      <c r="C247" s="1"/>
      <c r="D247" s="1"/>
      <c r="BJ247" s="1">
        <v>195</v>
      </c>
      <c r="BK247" s="1">
        <v>1.0016700000000001</v>
      </c>
    </row>
    <row r="248" spans="2:63" ht="15" customHeight="1" x14ac:dyDescent="0.25">
      <c r="B248" s="1"/>
      <c r="C248" s="1"/>
      <c r="D248" s="1"/>
      <c r="BJ248" s="1">
        <v>196</v>
      </c>
      <c r="BK248" s="1">
        <v>1.00169</v>
      </c>
    </row>
    <row r="249" spans="2:63" ht="15" customHeight="1" x14ac:dyDescent="0.25">
      <c r="B249" s="1"/>
      <c r="C249" s="1"/>
      <c r="D249" s="1"/>
      <c r="BJ249" s="1">
        <v>197</v>
      </c>
      <c r="BK249" s="1">
        <v>1.0017</v>
      </c>
    </row>
    <row r="250" spans="2:63" ht="15" customHeight="1" x14ac:dyDescent="0.25">
      <c r="B250" s="1"/>
      <c r="C250" s="1"/>
      <c r="D250" s="1"/>
      <c r="BJ250" s="1">
        <v>198</v>
      </c>
      <c r="BK250" s="1">
        <v>1.0017100000000001</v>
      </c>
    </row>
    <row r="251" spans="2:63" ht="15" customHeight="1" x14ac:dyDescent="0.25">
      <c r="B251" s="1"/>
      <c r="C251" s="1"/>
      <c r="D251" s="1"/>
      <c r="BJ251" s="1">
        <v>199</v>
      </c>
      <c r="BK251" s="1">
        <v>1.0017199999999999</v>
      </c>
    </row>
    <row r="252" spans="2:63" ht="15" customHeight="1" x14ac:dyDescent="0.25">
      <c r="B252" s="1"/>
      <c r="C252" s="1"/>
      <c r="D252" s="1"/>
      <c r="BJ252" s="1">
        <v>200</v>
      </c>
      <c r="BK252" s="1">
        <v>1.0017400000000001</v>
      </c>
    </row>
    <row r="253" spans="2:63" ht="15" customHeight="1" x14ac:dyDescent="0.25">
      <c r="B253" s="1"/>
      <c r="C253" s="1"/>
      <c r="D253" s="1"/>
      <c r="BJ253" s="1">
        <v>201</v>
      </c>
      <c r="BK253" s="1">
        <v>1.0017499999999999</v>
      </c>
    </row>
    <row r="254" spans="2:63" ht="15" customHeight="1" x14ac:dyDescent="0.25">
      <c r="B254" s="1"/>
      <c r="C254" s="1"/>
      <c r="D254" s="1"/>
      <c r="BJ254" s="1">
        <v>202</v>
      </c>
      <c r="BK254" s="1">
        <v>1.00176</v>
      </c>
    </row>
    <row r="255" spans="2:63" ht="15" customHeight="1" x14ac:dyDescent="0.25">
      <c r="B255" s="1"/>
      <c r="C255" s="1"/>
      <c r="D255" s="1"/>
      <c r="BJ255" s="1">
        <v>203</v>
      </c>
      <c r="BK255" s="1">
        <v>1.00177</v>
      </c>
    </row>
    <row r="256" spans="2:63" ht="15" customHeight="1" x14ac:dyDescent="0.25">
      <c r="B256" s="1"/>
      <c r="C256" s="1"/>
      <c r="D256" s="1"/>
      <c r="BJ256" s="1">
        <v>204</v>
      </c>
      <c r="BK256" s="1">
        <v>1.00179</v>
      </c>
    </row>
    <row r="257" spans="2:63" ht="15" customHeight="1" x14ac:dyDescent="0.25">
      <c r="B257" s="1"/>
      <c r="C257" s="1"/>
      <c r="D257" s="1"/>
      <c r="BJ257" s="1">
        <v>205</v>
      </c>
      <c r="BK257" s="1">
        <v>1.0018</v>
      </c>
    </row>
    <row r="258" spans="2:63" ht="15" customHeight="1" x14ac:dyDescent="0.25">
      <c r="B258" s="1"/>
      <c r="C258" s="1"/>
      <c r="D258" s="1"/>
      <c r="BJ258" s="1">
        <v>206</v>
      </c>
      <c r="BK258" s="1">
        <v>1.0018100000000001</v>
      </c>
    </row>
    <row r="259" spans="2:63" ht="15" customHeight="1" x14ac:dyDescent="0.25">
      <c r="B259" s="1"/>
      <c r="C259" s="1"/>
      <c r="D259" s="1"/>
      <c r="BJ259" s="1">
        <v>207</v>
      </c>
      <c r="BK259" s="1">
        <v>1.0018199999999999</v>
      </c>
    </row>
    <row r="260" spans="2:63" ht="15" customHeight="1" x14ac:dyDescent="0.25">
      <c r="B260" s="1"/>
      <c r="C260" s="1"/>
      <c r="D260" s="1"/>
      <c r="BJ260" s="1">
        <v>208</v>
      </c>
      <c r="BK260" s="1">
        <v>1.0018400000000001</v>
      </c>
    </row>
    <row r="261" spans="2:63" ht="15" customHeight="1" x14ac:dyDescent="0.25">
      <c r="B261" s="1"/>
      <c r="C261" s="1"/>
      <c r="D261" s="1"/>
      <c r="BJ261" s="1">
        <v>209</v>
      </c>
      <c r="BK261" s="1">
        <v>1.0018499999999999</v>
      </c>
    </row>
    <row r="262" spans="2:63" ht="15" customHeight="1" x14ac:dyDescent="0.25">
      <c r="B262" s="1"/>
      <c r="C262" s="1"/>
      <c r="D262" s="1"/>
      <c r="BJ262" s="1">
        <v>210</v>
      </c>
      <c r="BK262" s="1">
        <v>1.00186</v>
      </c>
    </row>
    <row r="263" spans="2:63" ht="15" customHeight="1" x14ac:dyDescent="0.25">
      <c r="B263" s="1"/>
      <c r="C263" s="1"/>
      <c r="D263" s="1"/>
      <c r="BJ263" s="1">
        <v>211</v>
      </c>
      <c r="BK263" s="1">
        <v>1.00187</v>
      </c>
    </row>
    <row r="264" spans="2:63" ht="15" customHeight="1" x14ac:dyDescent="0.25">
      <c r="B264" s="1"/>
      <c r="C264" s="1"/>
      <c r="D264" s="1"/>
      <c r="BJ264" s="1">
        <v>212</v>
      </c>
      <c r="BK264" s="1">
        <v>1.0018899999999999</v>
      </c>
    </row>
    <row r="265" spans="2:63" ht="15" customHeight="1" x14ac:dyDescent="0.25">
      <c r="B265" s="1"/>
      <c r="C265" s="1"/>
      <c r="D265" s="1"/>
      <c r="BJ265" s="1">
        <v>213</v>
      </c>
      <c r="BK265" s="1">
        <v>1.0019</v>
      </c>
    </row>
    <row r="266" spans="2:63" ht="15" customHeight="1" x14ac:dyDescent="0.25">
      <c r="B266" s="1"/>
      <c r="C266" s="1"/>
      <c r="D266" s="1"/>
      <c r="BJ266" s="1">
        <v>214</v>
      </c>
      <c r="BK266" s="1">
        <v>1.0019100000000001</v>
      </c>
    </row>
    <row r="267" spans="2:63" ht="15" customHeight="1" x14ac:dyDescent="0.25">
      <c r="B267" s="1"/>
      <c r="C267" s="1"/>
      <c r="D267" s="1"/>
      <c r="BJ267" s="1">
        <v>215</v>
      </c>
      <c r="BK267" s="1">
        <v>1.0019199999999999</v>
      </c>
    </row>
    <row r="268" spans="2:63" ht="15" customHeight="1" x14ac:dyDescent="0.25">
      <c r="B268" s="1"/>
      <c r="C268" s="1"/>
      <c r="D268" s="1"/>
      <c r="BJ268" s="1">
        <v>216</v>
      </c>
      <c r="BK268" s="1">
        <v>1.0019400000000001</v>
      </c>
    </row>
    <row r="269" spans="2:63" ht="15" customHeight="1" x14ac:dyDescent="0.25">
      <c r="B269" s="1"/>
      <c r="C269" s="1"/>
      <c r="D269" s="1"/>
      <c r="BJ269" s="1">
        <v>217</v>
      </c>
      <c r="BK269" s="1">
        <v>1.0019499999999999</v>
      </c>
    </row>
    <row r="270" spans="2:63" ht="15" customHeight="1" x14ac:dyDescent="0.25">
      <c r="B270" s="1"/>
      <c r="C270" s="1"/>
      <c r="D270" s="1"/>
      <c r="BJ270" s="1">
        <v>218</v>
      </c>
      <c r="BK270" s="1">
        <v>1.00196</v>
      </c>
    </row>
    <row r="271" spans="2:63" ht="15" customHeight="1" x14ac:dyDescent="0.25">
      <c r="B271" s="1"/>
      <c r="C271" s="1"/>
      <c r="D271" s="1"/>
      <c r="BJ271" s="1">
        <v>219</v>
      </c>
      <c r="BK271" s="1">
        <v>1.00197</v>
      </c>
    </row>
    <row r="272" spans="2:63" ht="15" customHeight="1" x14ac:dyDescent="0.25">
      <c r="B272" s="1"/>
      <c r="C272" s="1"/>
      <c r="D272" s="1"/>
      <c r="BJ272" s="1">
        <v>220</v>
      </c>
      <c r="BK272" s="1">
        <v>1.0019800000000001</v>
      </c>
    </row>
    <row r="273" spans="2:63" ht="15" customHeight="1" x14ac:dyDescent="0.25">
      <c r="B273" s="1"/>
      <c r="C273" s="1"/>
      <c r="D273" s="1"/>
      <c r="BJ273" s="1">
        <v>221</v>
      </c>
      <c r="BK273" s="1">
        <v>1.002</v>
      </c>
    </row>
    <row r="274" spans="2:63" ht="15" customHeight="1" x14ac:dyDescent="0.25">
      <c r="B274" s="1"/>
      <c r="C274" s="1"/>
      <c r="D274" s="1"/>
      <c r="BJ274" s="1">
        <v>222</v>
      </c>
      <c r="BK274" s="1">
        <v>1.0020100000000001</v>
      </c>
    </row>
    <row r="275" spans="2:63" ht="15" customHeight="1" x14ac:dyDescent="0.25">
      <c r="B275" s="1"/>
      <c r="C275" s="1"/>
      <c r="D275" s="1"/>
      <c r="BJ275" s="1">
        <v>223</v>
      </c>
      <c r="BK275" s="1">
        <v>1.0020199999999999</v>
      </c>
    </row>
    <row r="276" spans="2:63" ht="15" customHeight="1" x14ac:dyDescent="0.25">
      <c r="B276" s="1"/>
      <c r="C276" s="1"/>
      <c r="D276" s="1"/>
      <c r="BJ276" s="1">
        <v>224</v>
      </c>
      <c r="BK276" s="1">
        <v>1.00203</v>
      </c>
    </row>
    <row r="277" spans="2:63" ht="15" customHeight="1" x14ac:dyDescent="0.25">
      <c r="B277" s="1"/>
      <c r="C277" s="1"/>
      <c r="D277" s="1"/>
      <c r="BJ277" s="1">
        <v>225</v>
      </c>
      <c r="BK277" s="1">
        <v>1.0020500000000001</v>
      </c>
    </row>
    <row r="278" spans="2:63" ht="15" customHeight="1" x14ac:dyDescent="0.25">
      <c r="B278" s="1"/>
      <c r="C278" s="1"/>
      <c r="D278" s="1"/>
      <c r="BJ278" s="1">
        <v>226</v>
      </c>
      <c r="BK278" s="1">
        <v>1.00206</v>
      </c>
    </row>
    <row r="279" spans="2:63" ht="15" customHeight="1" x14ac:dyDescent="0.25">
      <c r="B279" s="1"/>
      <c r="C279" s="1"/>
      <c r="D279" s="1"/>
      <c r="BJ279" s="1">
        <v>227</v>
      </c>
      <c r="BK279" s="1">
        <v>1.00207</v>
      </c>
    </row>
    <row r="280" spans="2:63" ht="15" customHeight="1" x14ac:dyDescent="0.25">
      <c r="B280" s="1"/>
      <c r="C280" s="1"/>
      <c r="D280" s="1"/>
      <c r="BJ280" s="1">
        <v>228</v>
      </c>
      <c r="BK280" s="1">
        <v>1.0020800000000001</v>
      </c>
    </row>
    <row r="281" spans="2:63" ht="15" customHeight="1" x14ac:dyDescent="0.25">
      <c r="B281" s="1"/>
      <c r="C281" s="1"/>
      <c r="D281" s="1"/>
      <c r="BJ281" s="1">
        <v>229</v>
      </c>
      <c r="BK281" s="1">
        <v>1.0021</v>
      </c>
    </row>
    <row r="282" spans="2:63" ht="15" customHeight="1" x14ac:dyDescent="0.25">
      <c r="B282" s="1"/>
      <c r="C282" s="1"/>
      <c r="D282" s="1"/>
      <c r="BJ282" s="1">
        <v>230</v>
      </c>
      <c r="BK282" s="1">
        <v>1.0021100000000001</v>
      </c>
    </row>
    <row r="283" spans="2:63" ht="15" customHeight="1" x14ac:dyDescent="0.25">
      <c r="B283" s="1"/>
      <c r="C283" s="1"/>
      <c r="D283" s="1"/>
      <c r="BJ283" s="1">
        <v>231</v>
      </c>
      <c r="BK283" s="1">
        <v>1.0021199999999999</v>
      </c>
    </row>
    <row r="284" spans="2:63" ht="15" customHeight="1" x14ac:dyDescent="0.25">
      <c r="B284" s="1"/>
      <c r="C284" s="1"/>
      <c r="D284" s="1"/>
      <c r="BJ284" s="1">
        <v>232</v>
      </c>
      <c r="BK284" s="1">
        <v>1.00213</v>
      </c>
    </row>
    <row r="285" spans="2:63" ht="15" customHeight="1" x14ac:dyDescent="0.25">
      <c r="B285" s="1"/>
      <c r="C285" s="1"/>
      <c r="D285" s="1"/>
      <c r="BJ285" s="1">
        <v>233</v>
      </c>
      <c r="BK285" s="1">
        <v>1.0021500000000001</v>
      </c>
    </row>
    <row r="286" spans="2:63" ht="15" customHeight="1" x14ac:dyDescent="0.25">
      <c r="B286" s="1"/>
      <c r="C286" s="1"/>
      <c r="D286" s="1"/>
      <c r="BJ286" s="1">
        <v>234</v>
      </c>
      <c r="BK286" s="1">
        <v>1.0021599999999999</v>
      </c>
    </row>
    <row r="287" spans="2:63" ht="15" customHeight="1" x14ac:dyDescent="0.25">
      <c r="B287" s="1"/>
      <c r="C287" s="1"/>
      <c r="D287" s="1"/>
      <c r="BJ287" s="1">
        <v>235</v>
      </c>
      <c r="BK287" s="1">
        <v>1.00217</v>
      </c>
    </row>
    <row r="288" spans="2:63" ht="15" customHeight="1" x14ac:dyDescent="0.25">
      <c r="B288" s="1"/>
      <c r="C288" s="1"/>
      <c r="D288" s="1"/>
      <c r="BJ288" s="1">
        <v>236</v>
      </c>
      <c r="BK288" s="1">
        <v>1.0021800000000001</v>
      </c>
    </row>
    <row r="289" spans="2:63" ht="15" customHeight="1" x14ac:dyDescent="0.25">
      <c r="B289" s="1"/>
      <c r="C289" s="1"/>
      <c r="D289" s="1"/>
      <c r="BJ289" s="1">
        <v>237</v>
      </c>
      <c r="BK289" s="1">
        <v>1.0022</v>
      </c>
    </row>
    <row r="290" spans="2:63" ht="15" customHeight="1" x14ac:dyDescent="0.25">
      <c r="B290" s="1"/>
      <c r="C290" s="1"/>
      <c r="D290" s="1"/>
      <c r="BJ290" s="1">
        <v>238</v>
      </c>
      <c r="BK290" s="1">
        <v>1.00221</v>
      </c>
    </row>
    <row r="291" spans="2:63" ht="15" customHeight="1" x14ac:dyDescent="0.25">
      <c r="B291" s="1"/>
      <c r="C291" s="1"/>
      <c r="D291" s="1"/>
      <c r="BJ291" s="1">
        <v>239</v>
      </c>
      <c r="BK291" s="1">
        <v>1.0022200000000001</v>
      </c>
    </row>
    <row r="292" spans="2:63" ht="15" customHeight="1" x14ac:dyDescent="0.25">
      <c r="B292" s="1"/>
      <c r="C292" s="1"/>
      <c r="D292" s="1"/>
      <c r="BJ292" s="1">
        <v>240</v>
      </c>
      <c r="BK292" s="1">
        <v>1.00223</v>
      </c>
    </row>
    <row r="293" spans="2:63" ht="15" customHeight="1" x14ac:dyDescent="0.25">
      <c r="B293" s="1"/>
      <c r="C293" s="1"/>
      <c r="D293" s="1"/>
      <c r="BJ293" s="1">
        <v>241</v>
      </c>
      <c r="BK293" s="1">
        <v>1.0022500000000001</v>
      </c>
    </row>
    <row r="294" spans="2:63" ht="15" customHeight="1" x14ac:dyDescent="0.25">
      <c r="B294" s="1"/>
      <c r="C294" s="1"/>
      <c r="D294" s="1"/>
      <c r="BJ294" s="1">
        <v>242</v>
      </c>
      <c r="BK294" s="1">
        <v>1.0022599999999999</v>
      </c>
    </row>
    <row r="295" spans="2:63" ht="15" customHeight="1" x14ac:dyDescent="0.25">
      <c r="B295" s="1"/>
      <c r="C295" s="1"/>
      <c r="D295" s="1"/>
      <c r="BJ295" s="1">
        <v>243</v>
      </c>
      <c r="BK295" s="1">
        <v>1.00227</v>
      </c>
    </row>
    <row r="296" spans="2:63" ht="15" customHeight="1" x14ac:dyDescent="0.25">
      <c r="B296" s="1"/>
      <c r="C296" s="1"/>
      <c r="D296" s="1"/>
      <c r="BJ296" s="1">
        <v>244</v>
      </c>
      <c r="BK296" s="1">
        <v>1.0022800000000001</v>
      </c>
    </row>
    <row r="297" spans="2:63" ht="15" customHeight="1" x14ac:dyDescent="0.25">
      <c r="B297" s="1"/>
      <c r="C297" s="1"/>
      <c r="D297" s="1"/>
      <c r="BJ297" s="1">
        <v>245</v>
      </c>
      <c r="BK297" s="1">
        <v>1.0023</v>
      </c>
    </row>
    <row r="298" spans="2:63" ht="15" customHeight="1" x14ac:dyDescent="0.25">
      <c r="B298" s="1"/>
      <c r="C298" s="1"/>
      <c r="D298" s="1"/>
      <c r="BJ298" s="1">
        <v>246</v>
      </c>
      <c r="BK298" s="1">
        <v>1.00231</v>
      </c>
    </row>
    <row r="299" spans="2:63" ht="15" customHeight="1" x14ac:dyDescent="0.25">
      <c r="B299" s="1"/>
      <c r="C299" s="1"/>
      <c r="D299" s="1"/>
      <c r="BJ299" s="1">
        <v>247</v>
      </c>
      <c r="BK299" s="1">
        <v>1.0023200000000001</v>
      </c>
    </row>
    <row r="300" spans="2:63" ht="15" customHeight="1" x14ac:dyDescent="0.25">
      <c r="B300" s="1"/>
      <c r="C300" s="1"/>
      <c r="D300" s="1"/>
      <c r="BJ300" s="1">
        <v>248</v>
      </c>
      <c r="BK300" s="1">
        <v>1.0023299999999999</v>
      </c>
    </row>
    <row r="301" spans="2:63" ht="15" customHeight="1" x14ac:dyDescent="0.25">
      <c r="B301" s="1"/>
      <c r="C301" s="1"/>
      <c r="D301" s="1"/>
      <c r="BJ301" s="1">
        <v>249</v>
      </c>
      <c r="BK301" s="1">
        <v>1.00234</v>
      </c>
    </row>
    <row r="302" spans="2:63" ht="15" customHeight="1" x14ac:dyDescent="0.25">
      <c r="B302" s="1"/>
      <c r="C302" s="1"/>
      <c r="D302" s="1"/>
      <c r="BJ302" s="1">
        <v>250</v>
      </c>
      <c r="BK302" s="1">
        <v>1.0023599999999999</v>
      </c>
    </row>
    <row r="303" spans="2:63" ht="15" customHeight="1" x14ac:dyDescent="0.25">
      <c r="B303" s="1"/>
      <c r="C303" s="1"/>
      <c r="D303" s="1"/>
      <c r="BJ303" s="1">
        <v>251</v>
      </c>
      <c r="BK303" s="1">
        <v>1.00237</v>
      </c>
    </row>
    <row r="304" spans="2:63" ht="15" customHeight="1" x14ac:dyDescent="0.25">
      <c r="B304" s="1"/>
      <c r="C304" s="1"/>
      <c r="D304" s="1"/>
      <c r="BJ304" s="1">
        <v>252</v>
      </c>
      <c r="BK304" s="1">
        <v>1.00238</v>
      </c>
    </row>
    <row r="305" spans="2:63" ht="15" customHeight="1" x14ac:dyDescent="0.25">
      <c r="B305" s="1"/>
      <c r="C305" s="1"/>
      <c r="D305" s="1"/>
      <c r="BJ305" s="1">
        <v>253</v>
      </c>
      <c r="BK305" s="1">
        <v>1.0023899999999999</v>
      </c>
    </row>
    <row r="306" spans="2:63" ht="15" customHeight="1" x14ac:dyDescent="0.25">
      <c r="B306" s="1"/>
      <c r="C306" s="1"/>
      <c r="D306" s="1"/>
      <c r="BJ306" s="1">
        <v>254</v>
      </c>
      <c r="BK306" s="1">
        <v>1.00241</v>
      </c>
    </row>
    <row r="307" spans="2:63" ht="15" customHeight="1" x14ac:dyDescent="0.25">
      <c r="B307" s="1"/>
      <c r="C307" s="1"/>
      <c r="D307" s="1"/>
      <c r="BJ307" s="1">
        <v>255</v>
      </c>
      <c r="BK307" s="1">
        <v>1.0024200000000001</v>
      </c>
    </row>
    <row r="308" spans="2:63" ht="15" customHeight="1" x14ac:dyDescent="0.25">
      <c r="B308" s="1"/>
      <c r="C308" s="1"/>
      <c r="D308" s="1"/>
      <c r="BJ308" s="1">
        <v>256</v>
      </c>
      <c r="BK308" s="1">
        <v>1.0024299999999999</v>
      </c>
    </row>
    <row r="309" spans="2:63" ht="15" customHeight="1" x14ac:dyDescent="0.25">
      <c r="B309" s="1"/>
      <c r="C309" s="1"/>
      <c r="D309" s="1"/>
      <c r="BJ309" s="1">
        <v>257</v>
      </c>
      <c r="BK309" s="1">
        <v>1.00244</v>
      </c>
    </row>
    <row r="310" spans="2:63" ht="15" customHeight="1" x14ac:dyDescent="0.25">
      <c r="B310" s="1"/>
      <c r="C310" s="1"/>
      <c r="D310" s="1"/>
      <c r="BJ310" s="1">
        <v>258</v>
      </c>
      <c r="BK310" s="1">
        <v>1.0024599999999999</v>
      </c>
    </row>
    <row r="311" spans="2:63" ht="15" customHeight="1" x14ac:dyDescent="0.25">
      <c r="B311" s="1"/>
      <c r="C311" s="1"/>
      <c r="D311" s="1"/>
      <c r="BJ311" s="1">
        <v>259</v>
      </c>
      <c r="BK311" s="1">
        <v>1.00247</v>
      </c>
    </row>
    <row r="312" spans="2:63" ht="15" customHeight="1" x14ac:dyDescent="0.25">
      <c r="B312" s="1"/>
      <c r="C312" s="1"/>
      <c r="D312" s="1"/>
      <c r="BJ312" s="1">
        <v>260</v>
      </c>
      <c r="BK312" s="1">
        <v>1.00248</v>
      </c>
    </row>
    <row r="313" spans="2:63" ht="15" customHeight="1" x14ac:dyDescent="0.25">
      <c r="B313" s="1"/>
      <c r="C313" s="1"/>
      <c r="D313" s="1"/>
      <c r="BJ313" s="1">
        <v>261</v>
      </c>
      <c r="BK313" s="1">
        <v>1.0024900000000001</v>
      </c>
    </row>
    <row r="314" spans="2:63" ht="15" customHeight="1" x14ac:dyDescent="0.25">
      <c r="B314" s="1"/>
      <c r="C314" s="1"/>
      <c r="D314" s="1"/>
      <c r="BJ314" s="1">
        <v>262</v>
      </c>
      <c r="BK314" s="1">
        <v>1.00251</v>
      </c>
    </row>
    <row r="315" spans="2:63" ht="15" customHeight="1" x14ac:dyDescent="0.25">
      <c r="B315" s="1"/>
      <c r="C315" s="1"/>
      <c r="D315" s="1"/>
      <c r="BJ315" s="1">
        <v>263</v>
      </c>
      <c r="BK315" s="1">
        <v>1.0025200000000001</v>
      </c>
    </row>
    <row r="316" spans="2:63" ht="15" customHeight="1" x14ac:dyDescent="0.25">
      <c r="B316" s="1"/>
      <c r="C316" s="1"/>
      <c r="D316" s="1"/>
      <c r="BJ316" s="1">
        <v>264</v>
      </c>
      <c r="BK316" s="1">
        <v>1.0025299999999999</v>
      </c>
    </row>
    <row r="317" spans="2:63" ht="15" customHeight="1" x14ac:dyDescent="0.25">
      <c r="B317" s="1"/>
      <c r="C317" s="1"/>
      <c r="D317" s="1"/>
      <c r="BJ317" s="1">
        <v>265</v>
      </c>
      <c r="BK317" s="1">
        <v>1.00254</v>
      </c>
    </row>
    <row r="318" spans="2:63" ht="15" customHeight="1" x14ac:dyDescent="0.25">
      <c r="B318" s="1"/>
      <c r="C318" s="1"/>
      <c r="D318" s="1"/>
      <c r="BJ318" s="1">
        <v>266</v>
      </c>
      <c r="BK318" s="1">
        <v>1.0025599999999999</v>
      </c>
    </row>
    <row r="319" spans="2:63" ht="15" customHeight="1" x14ac:dyDescent="0.25">
      <c r="B319" s="1"/>
      <c r="C319" s="1"/>
      <c r="D319" s="1"/>
      <c r="BJ319" s="1">
        <v>267</v>
      </c>
      <c r="BK319" s="1">
        <v>1.00257</v>
      </c>
    </row>
    <row r="320" spans="2:63" ht="15" customHeight="1" x14ac:dyDescent="0.25">
      <c r="B320" s="1"/>
      <c r="C320" s="1"/>
      <c r="D320" s="1"/>
      <c r="BJ320" s="1">
        <v>268</v>
      </c>
      <c r="BK320" s="1">
        <v>1.00258</v>
      </c>
    </row>
    <row r="321" spans="2:63" ht="15" customHeight="1" x14ac:dyDescent="0.25">
      <c r="B321" s="1"/>
      <c r="C321" s="1"/>
      <c r="D321" s="1"/>
      <c r="BJ321" s="1">
        <v>269</v>
      </c>
      <c r="BK321" s="1">
        <v>1.0025900000000001</v>
      </c>
    </row>
    <row r="322" spans="2:63" ht="15" customHeight="1" x14ac:dyDescent="0.25">
      <c r="B322" s="1"/>
      <c r="C322" s="1"/>
      <c r="D322" s="1"/>
      <c r="BJ322" s="1">
        <v>270</v>
      </c>
      <c r="BK322" s="1">
        <v>1.00261</v>
      </c>
    </row>
    <row r="323" spans="2:63" ht="15" customHeight="1" x14ac:dyDescent="0.25">
      <c r="B323" s="1"/>
      <c r="C323" s="1"/>
      <c r="D323" s="1"/>
      <c r="BJ323" s="1">
        <v>271</v>
      </c>
      <c r="BK323" s="1">
        <v>1.0026200000000001</v>
      </c>
    </row>
    <row r="324" spans="2:63" ht="15" customHeight="1" x14ac:dyDescent="0.25">
      <c r="B324" s="1"/>
      <c r="C324" s="1"/>
      <c r="D324" s="1"/>
      <c r="BJ324" s="1">
        <v>272</v>
      </c>
      <c r="BK324" s="1">
        <v>1.0026299999999999</v>
      </c>
    </row>
    <row r="325" spans="2:63" ht="15" customHeight="1" x14ac:dyDescent="0.25">
      <c r="B325" s="1"/>
      <c r="C325" s="1"/>
      <c r="D325" s="1"/>
      <c r="BJ325" s="1">
        <v>273</v>
      </c>
      <c r="BK325" s="1">
        <v>1.00264</v>
      </c>
    </row>
    <row r="326" spans="2:63" ht="15" customHeight="1" x14ac:dyDescent="0.25">
      <c r="B326" s="1"/>
      <c r="C326" s="1"/>
      <c r="D326" s="1"/>
      <c r="BJ326" s="1">
        <v>274</v>
      </c>
      <c r="BK326" s="1">
        <v>1.0026600000000001</v>
      </c>
    </row>
    <row r="327" spans="2:63" ht="15" customHeight="1" x14ac:dyDescent="0.25">
      <c r="B327" s="1"/>
      <c r="C327" s="1"/>
      <c r="D327" s="1"/>
      <c r="BJ327" s="1">
        <v>275</v>
      </c>
      <c r="BK327" s="1">
        <v>1.00267</v>
      </c>
    </row>
    <row r="328" spans="2:63" ht="15" customHeight="1" x14ac:dyDescent="0.25">
      <c r="B328" s="1"/>
      <c r="C328" s="1"/>
      <c r="D328" s="1"/>
      <c r="BJ328" s="1">
        <v>276</v>
      </c>
      <c r="BK328" s="1">
        <v>1.00268</v>
      </c>
    </row>
    <row r="329" spans="2:63" ht="15" customHeight="1" x14ac:dyDescent="0.25">
      <c r="B329" s="1"/>
      <c r="C329" s="1"/>
      <c r="D329" s="1"/>
      <c r="BJ329" s="1">
        <v>277</v>
      </c>
      <c r="BK329" s="1">
        <v>1.0026900000000001</v>
      </c>
    </row>
    <row r="330" spans="2:63" ht="15" customHeight="1" x14ac:dyDescent="0.25">
      <c r="B330" s="1"/>
      <c r="C330" s="1"/>
      <c r="D330" s="1"/>
      <c r="BJ330" s="1">
        <v>278</v>
      </c>
      <c r="BK330" s="1">
        <v>1.00271</v>
      </c>
    </row>
    <row r="331" spans="2:63" ht="15" customHeight="1" x14ac:dyDescent="0.25">
      <c r="B331" s="1"/>
      <c r="C331" s="1"/>
      <c r="D331" s="1"/>
      <c r="BJ331" s="1">
        <v>279</v>
      </c>
      <c r="BK331" s="1">
        <v>1.0027200000000001</v>
      </c>
    </row>
    <row r="332" spans="2:63" ht="15" customHeight="1" x14ac:dyDescent="0.25">
      <c r="B332" s="1"/>
      <c r="C332" s="1"/>
      <c r="D332" s="1"/>
      <c r="BJ332" s="1">
        <v>280</v>
      </c>
      <c r="BK332" s="1">
        <v>1.0027299999999999</v>
      </c>
    </row>
    <row r="333" spans="2:63" ht="15" customHeight="1" x14ac:dyDescent="0.25">
      <c r="B333" s="1"/>
      <c r="C333" s="1"/>
      <c r="D333" s="1"/>
      <c r="BJ333" s="1">
        <v>281</v>
      </c>
      <c r="BK333" s="1">
        <v>1.00274</v>
      </c>
    </row>
    <row r="334" spans="2:63" ht="15" customHeight="1" x14ac:dyDescent="0.25">
      <c r="B334" s="1"/>
      <c r="C334" s="1"/>
      <c r="D334" s="1"/>
      <c r="BJ334" s="1">
        <v>282</v>
      </c>
      <c r="BK334" s="1">
        <v>1.00275</v>
      </c>
    </row>
    <row r="335" spans="2:63" ht="15" customHeight="1" x14ac:dyDescent="0.25">
      <c r="B335" s="1"/>
      <c r="C335" s="1"/>
      <c r="D335" s="1"/>
      <c r="BJ335" s="1">
        <v>283</v>
      </c>
      <c r="BK335" s="1">
        <v>1.0027699999999999</v>
      </c>
    </row>
    <row r="336" spans="2:63" ht="15" customHeight="1" x14ac:dyDescent="0.25">
      <c r="B336" s="1"/>
      <c r="C336" s="1"/>
      <c r="D336" s="1"/>
      <c r="BJ336" s="1">
        <v>284</v>
      </c>
      <c r="BK336" s="1">
        <v>1.00278</v>
      </c>
    </row>
    <row r="337" spans="2:63" ht="15" customHeight="1" x14ac:dyDescent="0.25">
      <c r="B337" s="1"/>
      <c r="C337" s="1"/>
      <c r="D337" s="1"/>
      <c r="BJ337" s="1">
        <v>285</v>
      </c>
      <c r="BK337" s="1">
        <v>1.0027900000000001</v>
      </c>
    </row>
    <row r="338" spans="2:63" ht="15" customHeight="1" x14ac:dyDescent="0.25">
      <c r="B338" s="1"/>
      <c r="C338" s="1"/>
      <c r="D338" s="1"/>
      <c r="BJ338" s="1">
        <v>286</v>
      </c>
      <c r="BK338" s="1">
        <v>1.0027999999999999</v>
      </c>
    </row>
    <row r="339" spans="2:63" ht="15" customHeight="1" x14ac:dyDescent="0.25">
      <c r="B339" s="1"/>
      <c r="C339" s="1"/>
      <c r="D339" s="1"/>
      <c r="BJ339" s="1">
        <v>287</v>
      </c>
      <c r="BK339" s="1">
        <v>1.00282</v>
      </c>
    </row>
    <row r="340" spans="2:63" ht="15" customHeight="1" x14ac:dyDescent="0.25">
      <c r="B340" s="1"/>
      <c r="C340" s="1"/>
      <c r="D340" s="1"/>
      <c r="BJ340" s="1">
        <v>288</v>
      </c>
      <c r="BK340" s="1">
        <v>1.0028300000000001</v>
      </c>
    </row>
    <row r="341" spans="2:63" ht="15" customHeight="1" x14ac:dyDescent="0.25">
      <c r="B341" s="1"/>
      <c r="C341" s="1"/>
      <c r="D341" s="1"/>
      <c r="BJ341" s="1">
        <v>289</v>
      </c>
      <c r="BK341" s="1">
        <v>1.00284</v>
      </c>
    </row>
    <row r="342" spans="2:63" ht="15" customHeight="1" x14ac:dyDescent="0.25">
      <c r="B342" s="1"/>
      <c r="C342" s="1"/>
      <c r="D342" s="1"/>
      <c r="BJ342" s="1">
        <v>290</v>
      </c>
      <c r="BK342" s="1">
        <v>1.00285</v>
      </c>
    </row>
    <row r="343" spans="2:63" ht="15" customHeight="1" x14ac:dyDescent="0.25">
      <c r="B343" s="1"/>
      <c r="C343" s="1"/>
      <c r="D343" s="1"/>
      <c r="BJ343" s="1">
        <v>291</v>
      </c>
      <c r="BK343" s="1">
        <v>1.0028699999999999</v>
      </c>
    </row>
    <row r="344" spans="2:63" ht="15" customHeight="1" x14ac:dyDescent="0.25">
      <c r="B344" s="1"/>
      <c r="C344" s="1"/>
      <c r="D344" s="1"/>
      <c r="BJ344" s="1">
        <v>292</v>
      </c>
      <c r="BK344" s="1">
        <v>1.00288</v>
      </c>
    </row>
    <row r="345" spans="2:63" ht="15" customHeight="1" x14ac:dyDescent="0.25">
      <c r="B345" s="1"/>
      <c r="C345" s="1"/>
      <c r="D345" s="1"/>
      <c r="BJ345" s="1">
        <v>293</v>
      </c>
      <c r="BK345" s="1">
        <v>1.0028900000000001</v>
      </c>
    </row>
    <row r="346" spans="2:63" ht="15" customHeight="1" x14ac:dyDescent="0.25">
      <c r="B346" s="1"/>
      <c r="C346" s="1"/>
      <c r="D346" s="1"/>
      <c r="BJ346" s="1">
        <v>294</v>
      </c>
      <c r="BK346" s="1">
        <v>1.0028999999999999</v>
      </c>
    </row>
    <row r="347" spans="2:63" ht="15" customHeight="1" x14ac:dyDescent="0.25">
      <c r="B347" s="1"/>
      <c r="C347" s="1"/>
      <c r="D347" s="1"/>
      <c r="BJ347" s="1">
        <v>295</v>
      </c>
      <c r="BK347" s="1">
        <v>1.00292</v>
      </c>
    </row>
    <row r="348" spans="2:63" ht="15" customHeight="1" x14ac:dyDescent="0.25">
      <c r="B348" s="1"/>
      <c r="C348" s="1"/>
      <c r="D348" s="1"/>
      <c r="BJ348" s="1">
        <v>296</v>
      </c>
      <c r="BK348" s="1">
        <v>1.0029300000000001</v>
      </c>
    </row>
    <row r="349" spans="2:63" ht="15" customHeight="1" x14ac:dyDescent="0.25">
      <c r="B349" s="1"/>
      <c r="C349" s="1"/>
      <c r="D349" s="1"/>
      <c r="BJ349" s="1">
        <v>297</v>
      </c>
      <c r="BK349" s="1">
        <v>1.0029399999999999</v>
      </c>
    </row>
    <row r="350" spans="2:63" ht="15" customHeight="1" x14ac:dyDescent="0.25">
      <c r="B350" s="1"/>
      <c r="C350" s="1"/>
      <c r="D350" s="1"/>
      <c r="BJ350" s="1">
        <v>298</v>
      </c>
      <c r="BK350" s="1">
        <v>1.00295</v>
      </c>
    </row>
    <row r="351" spans="2:63" ht="15" customHeight="1" x14ac:dyDescent="0.25">
      <c r="B351" s="1"/>
      <c r="C351" s="1"/>
      <c r="D351" s="1"/>
      <c r="BJ351" s="1">
        <v>299</v>
      </c>
      <c r="BK351" s="1">
        <v>1.0029699999999999</v>
      </c>
    </row>
    <row r="352" spans="2:63" ht="15" customHeight="1" x14ac:dyDescent="0.25">
      <c r="B352" s="1"/>
      <c r="C352" s="1"/>
      <c r="D352" s="1"/>
      <c r="BJ352" s="1">
        <v>300</v>
      </c>
      <c r="BK352" s="1">
        <v>1.00298</v>
      </c>
    </row>
    <row r="353" spans="2:4" ht="15" customHeight="1" x14ac:dyDescent="0.25">
      <c r="B353" s="1"/>
      <c r="C353" s="1"/>
      <c r="D353" s="1"/>
    </row>
    <row r="354" spans="2:4" ht="15" customHeight="1" x14ac:dyDescent="0.25">
      <c r="B354" s="1"/>
      <c r="C354" s="1"/>
      <c r="D354" s="1"/>
    </row>
    <row r="355" spans="2:4" ht="15" customHeight="1" x14ac:dyDescent="0.25">
      <c r="B355" s="1"/>
      <c r="C355" s="1"/>
      <c r="D355" s="1"/>
    </row>
    <row r="356" spans="2:4" ht="15" customHeight="1" x14ac:dyDescent="0.25">
      <c r="B356" s="1"/>
      <c r="C356" s="1"/>
      <c r="D356" s="1"/>
    </row>
    <row r="357" spans="2:4" ht="15" customHeight="1" x14ac:dyDescent="0.25">
      <c r="B357" s="1"/>
      <c r="C357" s="1"/>
      <c r="D357" s="1"/>
    </row>
    <row r="358" spans="2:4" ht="15" customHeight="1" x14ac:dyDescent="0.25">
      <c r="B358" s="1"/>
      <c r="C358" s="1"/>
      <c r="D358" s="1"/>
    </row>
    <row r="359" spans="2:4" ht="15" customHeight="1" x14ac:dyDescent="0.25">
      <c r="B359" s="1"/>
      <c r="C359" s="1"/>
      <c r="D359" s="1"/>
    </row>
    <row r="360" spans="2:4" ht="15" customHeight="1" x14ac:dyDescent="0.25">
      <c r="B360" s="1"/>
      <c r="C360" s="1"/>
      <c r="D360" s="1"/>
    </row>
    <row r="361" spans="2:4" ht="15" customHeight="1" x14ac:dyDescent="0.25">
      <c r="B361" s="1"/>
      <c r="C361" s="1"/>
      <c r="D361" s="1"/>
    </row>
    <row r="362" spans="2:4" ht="15" customHeight="1" x14ac:dyDescent="0.25">
      <c r="B362" s="1"/>
      <c r="C362" s="1"/>
      <c r="D362" s="1"/>
    </row>
    <row r="363" spans="2:4" ht="15" customHeight="1" x14ac:dyDescent="0.25">
      <c r="B363" s="1"/>
      <c r="C363" s="1"/>
      <c r="D363" s="1"/>
    </row>
    <row r="364" spans="2:4" ht="15" customHeight="1" x14ac:dyDescent="0.25">
      <c r="B364" s="1"/>
      <c r="C364" s="1"/>
      <c r="D364" s="1"/>
    </row>
    <row r="365" spans="2:4" ht="15" customHeight="1" x14ac:dyDescent="0.25">
      <c r="B365" s="1"/>
      <c r="C365" s="1"/>
      <c r="D365" s="1"/>
    </row>
    <row r="366" spans="2:4" ht="15" customHeight="1" x14ac:dyDescent="0.25">
      <c r="B366" s="1"/>
      <c r="C366" s="1"/>
      <c r="D366" s="1"/>
    </row>
    <row r="367" spans="2:4" ht="15" customHeight="1" x14ac:dyDescent="0.25">
      <c r="B367" s="1"/>
      <c r="C367" s="1"/>
      <c r="D367" s="1"/>
    </row>
    <row r="368" spans="2:4" ht="15" customHeight="1" x14ac:dyDescent="0.25">
      <c r="B368" s="1"/>
      <c r="C368" s="1"/>
      <c r="D368" s="1"/>
    </row>
    <row r="369" spans="2:4" ht="15" customHeight="1" x14ac:dyDescent="0.25">
      <c r="B369" s="1"/>
      <c r="C369" s="1"/>
      <c r="D369" s="1"/>
    </row>
    <row r="370" spans="2:4" ht="15" customHeight="1" x14ac:dyDescent="0.25">
      <c r="B370" s="1"/>
      <c r="C370" s="1"/>
      <c r="D370" s="1"/>
    </row>
    <row r="371" spans="2:4" ht="15" customHeight="1" x14ac:dyDescent="0.25">
      <c r="B371" s="1"/>
      <c r="C371" s="1"/>
      <c r="D371" s="1"/>
    </row>
    <row r="372" spans="2:4" ht="15" customHeight="1" x14ac:dyDescent="0.25">
      <c r="B372" s="1"/>
      <c r="C372" s="1"/>
      <c r="D372" s="1"/>
    </row>
    <row r="373" spans="2:4" ht="15" customHeight="1" x14ac:dyDescent="0.25">
      <c r="B373" s="1"/>
      <c r="C373" s="1"/>
      <c r="D373" s="1"/>
    </row>
    <row r="374" spans="2:4" ht="15" customHeight="1" x14ac:dyDescent="0.25">
      <c r="B374" s="1"/>
      <c r="C374" s="1"/>
      <c r="D374" s="1"/>
    </row>
    <row r="375" spans="2:4" ht="15" customHeight="1" x14ac:dyDescent="0.25">
      <c r="B375" s="1"/>
      <c r="C375" s="1"/>
      <c r="D375" s="1"/>
    </row>
    <row r="376" spans="2:4" ht="15" customHeight="1" x14ac:dyDescent="0.25">
      <c r="B376" s="1"/>
      <c r="C376" s="1"/>
      <c r="D376" s="1"/>
    </row>
    <row r="377" spans="2:4" ht="15" customHeight="1" x14ac:dyDescent="0.25">
      <c r="B377" s="1"/>
      <c r="C377" s="1"/>
      <c r="D377" s="1"/>
    </row>
    <row r="378" spans="2:4" ht="15" customHeight="1" x14ac:dyDescent="0.25">
      <c r="B378" s="1"/>
      <c r="C378" s="1"/>
      <c r="D378" s="1"/>
    </row>
    <row r="379" spans="2:4" ht="15" customHeight="1" x14ac:dyDescent="0.25">
      <c r="B379" s="1"/>
      <c r="C379" s="1"/>
      <c r="D379" s="1"/>
    </row>
    <row r="380" spans="2:4" ht="15" customHeight="1" x14ac:dyDescent="0.25">
      <c r="B380" s="1"/>
      <c r="C380" s="1"/>
      <c r="D380" s="1"/>
    </row>
    <row r="381" spans="2:4" ht="15" customHeight="1" x14ac:dyDescent="0.25">
      <c r="B381" s="1"/>
      <c r="C381" s="1"/>
      <c r="D381" s="1"/>
    </row>
    <row r="382" spans="2:4" ht="15" customHeight="1" x14ac:dyDescent="0.25">
      <c r="B382" s="1"/>
      <c r="C382" s="1"/>
      <c r="D382" s="1"/>
    </row>
    <row r="383" spans="2:4" ht="15" customHeight="1" x14ac:dyDescent="0.25">
      <c r="B383" s="1"/>
      <c r="C383" s="1"/>
      <c r="D383" s="1"/>
    </row>
    <row r="384" spans="2:4" ht="15" customHeight="1" x14ac:dyDescent="0.25">
      <c r="B384" s="1"/>
      <c r="C384" s="1"/>
      <c r="D384" s="1"/>
    </row>
    <row r="385" spans="2:4" ht="15" customHeight="1" x14ac:dyDescent="0.25">
      <c r="B385" s="1"/>
      <c r="C385" s="1"/>
      <c r="D385" s="1"/>
    </row>
    <row r="386" spans="2:4" ht="15" customHeight="1" x14ac:dyDescent="0.25">
      <c r="B386" s="1"/>
      <c r="C386" s="1"/>
      <c r="D386" s="1"/>
    </row>
    <row r="387" spans="2:4" ht="15" customHeight="1" x14ac:dyDescent="0.25">
      <c r="B387" s="1"/>
      <c r="C387" s="1"/>
      <c r="D387" s="1"/>
    </row>
    <row r="388" spans="2:4" ht="15" customHeight="1" x14ac:dyDescent="0.25">
      <c r="B388" s="1"/>
      <c r="C388" s="1"/>
      <c r="D388" s="1"/>
    </row>
    <row r="389" spans="2:4" ht="15" customHeight="1" x14ac:dyDescent="0.25">
      <c r="B389" s="1"/>
      <c r="C389" s="1"/>
      <c r="D389" s="1"/>
    </row>
    <row r="390" spans="2:4" ht="15" customHeight="1" x14ac:dyDescent="0.25">
      <c r="B390" s="1"/>
      <c r="C390" s="1"/>
      <c r="D390" s="1"/>
    </row>
    <row r="391" spans="2:4" ht="15" customHeight="1" x14ac:dyDescent="0.25">
      <c r="B391" s="1"/>
      <c r="C391" s="1"/>
      <c r="D391" s="1"/>
    </row>
    <row r="392" spans="2:4" ht="15" customHeight="1" x14ac:dyDescent="0.25">
      <c r="B392" s="1"/>
      <c r="C392" s="1"/>
      <c r="D392" s="1"/>
    </row>
    <row r="393" spans="2:4" ht="15" customHeight="1" x14ac:dyDescent="0.25">
      <c r="B393" s="1"/>
      <c r="C393" s="1"/>
      <c r="D393" s="1"/>
    </row>
    <row r="394" spans="2:4" ht="15" customHeight="1" x14ac:dyDescent="0.25">
      <c r="B394" s="1"/>
      <c r="C394" s="1"/>
      <c r="D394" s="1"/>
    </row>
    <row r="395" spans="2:4" ht="15" customHeight="1" x14ac:dyDescent="0.25">
      <c r="B395" s="1"/>
      <c r="C395" s="1"/>
      <c r="D395" s="1"/>
    </row>
    <row r="396" spans="2:4" ht="15" customHeight="1" x14ac:dyDescent="0.25">
      <c r="B396" s="1"/>
      <c r="C396" s="1"/>
      <c r="D396" s="1"/>
    </row>
    <row r="397" spans="2:4" ht="15" customHeight="1" x14ac:dyDescent="0.25">
      <c r="B397" s="1"/>
      <c r="C397" s="1"/>
      <c r="D397" s="1"/>
    </row>
    <row r="398" spans="2:4" ht="15" customHeight="1" x14ac:dyDescent="0.25">
      <c r="B398" s="1"/>
      <c r="C398" s="1"/>
      <c r="D398" s="1"/>
    </row>
    <row r="399" spans="2:4" ht="15" customHeight="1" x14ac:dyDescent="0.25">
      <c r="B399" s="1"/>
      <c r="C399" s="1"/>
      <c r="D399" s="1"/>
    </row>
    <row r="400" spans="2:4" ht="15" customHeight="1" x14ac:dyDescent="0.25">
      <c r="B400" s="1"/>
      <c r="C400" s="1"/>
      <c r="D400" s="1"/>
    </row>
    <row r="401" spans="2:4" ht="15" customHeight="1" x14ac:dyDescent="0.25">
      <c r="B401" s="1"/>
      <c r="C401" s="1"/>
      <c r="D401" s="1"/>
    </row>
    <row r="402" spans="2:4" ht="15" customHeight="1" x14ac:dyDescent="0.25">
      <c r="B402" s="1"/>
      <c r="C402" s="1"/>
      <c r="D402" s="1"/>
    </row>
    <row r="403" spans="2:4" ht="15" customHeight="1" x14ac:dyDescent="0.25">
      <c r="B403" s="1"/>
      <c r="C403" s="1"/>
      <c r="D403" s="1"/>
    </row>
    <row r="404" spans="2:4" ht="15" customHeight="1" x14ac:dyDescent="0.25">
      <c r="B404" s="1"/>
      <c r="C404" s="1"/>
      <c r="D404" s="1"/>
    </row>
    <row r="405" spans="2:4" ht="15" customHeight="1" x14ac:dyDescent="0.25">
      <c r="B405" s="1"/>
      <c r="C405" s="1"/>
      <c r="D405" s="1"/>
    </row>
    <row r="406" spans="2:4" ht="15" customHeight="1" x14ac:dyDescent="0.25">
      <c r="B406" s="1"/>
      <c r="C406" s="1"/>
      <c r="D406" s="1"/>
    </row>
    <row r="407" spans="2:4" ht="15" customHeight="1" x14ac:dyDescent="0.25">
      <c r="B407" s="1"/>
      <c r="C407" s="1"/>
      <c r="D407" s="1"/>
    </row>
    <row r="408" spans="2:4" ht="15" customHeight="1" x14ac:dyDescent="0.25">
      <c r="B408" s="1"/>
      <c r="C408" s="1"/>
      <c r="D408" s="1"/>
    </row>
    <row r="409" spans="2:4" ht="15" customHeight="1" x14ac:dyDescent="0.25">
      <c r="B409" s="1"/>
      <c r="C409" s="1"/>
      <c r="D409" s="1"/>
    </row>
    <row r="410" spans="2:4" ht="15" customHeight="1" x14ac:dyDescent="0.25">
      <c r="B410" s="1"/>
      <c r="C410" s="1"/>
      <c r="D410" s="1"/>
    </row>
    <row r="411" spans="2:4" ht="15" customHeight="1" x14ac:dyDescent="0.25">
      <c r="B411" s="1"/>
      <c r="C411" s="1"/>
      <c r="D411" s="1"/>
    </row>
    <row r="412" spans="2:4" ht="15" customHeight="1" x14ac:dyDescent="0.25">
      <c r="B412" s="1"/>
      <c r="C412" s="1"/>
      <c r="D412" s="1"/>
    </row>
    <row r="413" spans="2:4" ht="15" customHeight="1" x14ac:dyDescent="0.25">
      <c r="B413" s="1"/>
      <c r="C413" s="1"/>
      <c r="D413" s="1"/>
    </row>
    <row r="414" spans="2:4" ht="15" customHeight="1" x14ac:dyDescent="0.25">
      <c r="B414" s="1"/>
      <c r="C414" s="1"/>
      <c r="D414" s="1"/>
    </row>
    <row r="415" spans="2:4" ht="15" customHeight="1" x14ac:dyDescent="0.25">
      <c r="B415" s="1"/>
      <c r="C415" s="1"/>
      <c r="D415" s="1"/>
    </row>
    <row r="416" spans="2:4" ht="15" customHeight="1" x14ac:dyDescent="0.25">
      <c r="B416" s="1"/>
      <c r="C416" s="1"/>
      <c r="D416" s="1"/>
    </row>
    <row r="417" spans="2:4" ht="15" customHeight="1" x14ac:dyDescent="0.25">
      <c r="B417" s="1"/>
      <c r="C417" s="1"/>
      <c r="D417" s="1"/>
    </row>
    <row r="418" spans="2:4" ht="15" customHeight="1" x14ac:dyDescent="0.25">
      <c r="B418" s="1"/>
      <c r="C418" s="1"/>
      <c r="D418" s="1"/>
    </row>
    <row r="419" spans="2:4" ht="15" customHeight="1" x14ac:dyDescent="0.25">
      <c r="B419" s="1"/>
      <c r="C419" s="1"/>
      <c r="D419" s="1"/>
    </row>
    <row r="420" spans="2:4" ht="15" customHeight="1" x14ac:dyDescent="0.25">
      <c r="B420" s="1"/>
      <c r="C420" s="1"/>
      <c r="D420" s="1"/>
    </row>
    <row r="421" spans="2:4" ht="15" customHeight="1" x14ac:dyDescent="0.25">
      <c r="B421" s="1"/>
      <c r="C421" s="1"/>
      <c r="D421" s="1"/>
    </row>
    <row r="422" spans="2:4" ht="15" customHeight="1" x14ac:dyDescent="0.25">
      <c r="B422" s="1"/>
      <c r="C422" s="1"/>
      <c r="D422" s="1"/>
    </row>
    <row r="423" spans="2:4" ht="15" customHeight="1" x14ac:dyDescent="0.25">
      <c r="B423" s="1"/>
      <c r="C423" s="1"/>
      <c r="D423" s="1"/>
    </row>
    <row r="424" spans="2:4" ht="15" customHeight="1" x14ac:dyDescent="0.25">
      <c r="B424" s="1"/>
      <c r="C424" s="1"/>
      <c r="D424" s="1"/>
    </row>
    <row r="425" spans="2:4" ht="15" customHeight="1" x14ac:dyDescent="0.25">
      <c r="B425" s="1"/>
      <c r="C425" s="1"/>
      <c r="D425" s="1"/>
    </row>
    <row r="426" spans="2:4" ht="15" customHeight="1" x14ac:dyDescent="0.25">
      <c r="B426" s="1"/>
      <c r="C426" s="1"/>
      <c r="D426" s="1"/>
    </row>
    <row r="427" spans="2:4" ht="15" customHeight="1" x14ac:dyDescent="0.25">
      <c r="B427" s="1"/>
      <c r="C427" s="1"/>
      <c r="D427" s="1"/>
    </row>
    <row r="428" spans="2:4" ht="15" customHeight="1" x14ac:dyDescent="0.25">
      <c r="B428" s="1"/>
      <c r="C428" s="1"/>
      <c r="D428" s="1"/>
    </row>
    <row r="429" spans="2:4" ht="15" customHeight="1" x14ac:dyDescent="0.25">
      <c r="B429" s="1"/>
      <c r="C429" s="1"/>
      <c r="D429" s="1"/>
    </row>
    <row r="430" spans="2:4" ht="15" customHeight="1" x14ac:dyDescent="0.25">
      <c r="B430" s="1"/>
      <c r="C430" s="1"/>
      <c r="D430" s="1"/>
    </row>
    <row r="431" spans="2:4" ht="15" customHeight="1" x14ac:dyDescent="0.25">
      <c r="B431" s="1"/>
      <c r="C431" s="1"/>
      <c r="D431" s="1"/>
    </row>
    <row r="432" spans="2:4" ht="15" customHeight="1" x14ac:dyDescent="0.25">
      <c r="B432" s="1"/>
      <c r="C432" s="1"/>
      <c r="D432" s="1"/>
    </row>
    <row r="433" spans="2:4" ht="15" customHeight="1" x14ac:dyDescent="0.25">
      <c r="B433" s="1"/>
      <c r="C433" s="1"/>
      <c r="D433" s="1"/>
    </row>
    <row r="434" spans="2:4" ht="15" customHeight="1" x14ac:dyDescent="0.25">
      <c r="B434" s="1"/>
      <c r="C434" s="1"/>
      <c r="D434" s="1"/>
    </row>
    <row r="435" spans="2:4" ht="15" customHeight="1" x14ac:dyDescent="0.25">
      <c r="B435" s="1"/>
      <c r="C435" s="1"/>
      <c r="D435" s="1"/>
    </row>
    <row r="436" spans="2:4" ht="15" customHeight="1" x14ac:dyDescent="0.25">
      <c r="B436" s="1"/>
      <c r="C436" s="1"/>
      <c r="D436" s="1"/>
    </row>
    <row r="437" spans="2:4" ht="15" customHeight="1" x14ac:dyDescent="0.25">
      <c r="B437" s="1"/>
      <c r="C437" s="1"/>
      <c r="D437" s="1"/>
    </row>
    <row r="438" spans="2:4" ht="15" customHeight="1" x14ac:dyDescent="0.25">
      <c r="B438" s="1"/>
      <c r="C438" s="1"/>
      <c r="D438" s="1"/>
    </row>
    <row r="439" spans="2:4" ht="15" customHeight="1" x14ac:dyDescent="0.25">
      <c r="B439" s="1"/>
      <c r="C439" s="1"/>
      <c r="D439" s="1"/>
    </row>
    <row r="440" spans="2:4" ht="15" customHeight="1" x14ac:dyDescent="0.25">
      <c r="B440" s="1"/>
      <c r="C440" s="1"/>
      <c r="D440" s="1"/>
    </row>
    <row r="441" spans="2:4" ht="15" customHeight="1" x14ac:dyDescent="0.25">
      <c r="B441" s="1"/>
      <c r="C441" s="1"/>
      <c r="D441" s="1"/>
    </row>
    <row r="442" spans="2:4" ht="15" customHeight="1" x14ac:dyDescent="0.25">
      <c r="B442" s="1"/>
      <c r="C442" s="1"/>
      <c r="D442" s="1"/>
    </row>
    <row r="443" spans="2:4" ht="15" customHeight="1" x14ac:dyDescent="0.25">
      <c r="B443" s="1"/>
      <c r="C443" s="1"/>
      <c r="D443" s="1"/>
    </row>
    <row r="444" spans="2:4" ht="15" customHeight="1" x14ac:dyDescent="0.25">
      <c r="B444" s="1"/>
      <c r="C444" s="1"/>
      <c r="D444" s="1"/>
    </row>
    <row r="445" spans="2:4" ht="15" customHeight="1" x14ac:dyDescent="0.25">
      <c r="B445" s="1"/>
      <c r="C445" s="1"/>
      <c r="D445" s="1"/>
    </row>
    <row r="446" spans="2:4" ht="15" customHeight="1" x14ac:dyDescent="0.25">
      <c r="B446" s="1"/>
      <c r="C446" s="1"/>
      <c r="D446" s="1"/>
    </row>
    <row r="447" spans="2:4" ht="15" customHeight="1" x14ac:dyDescent="0.25">
      <c r="B447" s="1"/>
      <c r="C447" s="1"/>
      <c r="D447" s="1"/>
    </row>
    <row r="448" spans="2:4" ht="15" customHeight="1" x14ac:dyDescent="0.25">
      <c r="B448" s="1"/>
      <c r="C448" s="1"/>
      <c r="D448" s="1"/>
    </row>
    <row r="449" spans="2:4" ht="15" customHeight="1" x14ac:dyDescent="0.25">
      <c r="B449" s="1"/>
      <c r="C449" s="1"/>
      <c r="D449" s="1"/>
    </row>
    <row r="450" spans="2:4" ht="15" customHeight="1" x14ac:dyDescent="0.25">
      <c r="B450" s="1"/>
      <c r="C450" s="1"/>
      <c r="D450" s="1"/>
    </row>
    <row r="451" spans="2:4" ht="15" customHeight="1" x14ac:dyDescent="0.25">
      <c r="B451" s="1"/>
      <c r="C451" s="1"/>
      <c r="D451" s="1"/>
    </row>
    <row r="452" spans="2:4" ht="15" customHeight="1" x14ac:dyDescent="0.25">
      <c r="B452" s="1"/>
      <c r="C452" s="1"/>
      <c r="D452" s="1"/>
    </row>
    <row r="453" spans="2:4" ht="15" customHeight="1" x14ac:dyDescent="0.25">
      <c r="B453" s="1"/>
      <c r="C453" s="1"/>
      <c r="D453" s="1"/>
    </row>
    <row r="454" spans="2:4" ht="15" customHeight="1" x14ac:dyDescent="0.25">
      <c r="B454" s="1"/>
      <c r="C454" s="1"/>
      <c r="D454" s="1"/>
    </row>
    <row r="455" spans="2:4" ht="15" customHeight="1" x14ac:dyDescent="0.25">
      <c r="B455" s="1"/>
      <c r="C455" s="1"/>
      <c r="D455" s="1"/>
    </row>
    <row r="456" spans="2:4" ht="15" customHeight="1" x14ac:dyDescent="0.25">
      <c r="B456" s="1"/>
      <c r="C456" s="1"/>
      <c r="D456" s="1"/>
    </row>
    <row r="457" spans="2:4" ht="15" customHeight="1" x14ac:dyDescent="0.25">
      <c r="B457" s="1"/>
      <c r="C457" s="1"/>
      <c r="D457" s="1"/>
    </row>
    <row r="458" spans="2:4" ht="15" customHeight="1" x14ac:dyDescent="0.25">
      <c r="B458" s="1"/>
      <c r="C458" s="1"/>
      <c r="D458" s="1"/>
    </row>
    <row r="459" spans="2:4" ht="15" customHeight="1" x14ac:dyDescent="0.25">
      <c r="B459" s="1"/>
      <c r="C459" s="1"/>
      <c r="D459" s="1"/>
    </row>
    <row r="460" spans="2:4" ht="15" customHeight="1" x14ac:dyDescent="0.25">
      <c r="B460" s="1"/>
      <c r="C460" s="1"/>
      <c r="D460" s="1"/>
    </row>
    <row r="461" spans="2:4" ht="15" customHeight="1" x14ac:dyDescent="0.25">
      <c r="B461" s="1"/>
      <c r="C461" s="1"/>
      <c r="D461" s="1"/>
    </row>
    <row r="462" spans="2:4" ht="15" customHeight="1" x14ac:dyDescent="0.25">
      <c r="B462" s="1"/>
      <c r="C462" s="1"/>
      <c r="D462" s="1"/>
    </row>
    <row r="463" spans="2:4" ht="15" customHeight="1" x14ac:dyDescent="0.25">
      <c r="B463" s="1"/>
      <c r="C463" s="1"/>
      <c r="D463" s="1"/>
    </row>
    <row r="464" spans="2:4" ht="15" customHeight="1" x14ac:dyDescent="0.25">
      <c r="B464" s="1"/>
      <c r="C464" s="1"/>
      <c r="D464" s="1"/>
    </row>
    <row r="465" spans="2:4" ht="15" customHeight="1" x14ac:dyDescent="0.25">
      <c r="B465" s="1"/>
      <c r="C465" s="1"/>
      <c r="D465" s="1"/>
    </row>
    <row r="466" spans="2:4" ht="15" customHeight="1" x14ac:dyDescent="0.25">
      <c r="B466" s="1"/>
      <c r="C466" s="1"/>
      <c r="D466" s="1"/>
    </row>
    <row r="467" spans="2:4" ht="15" customHeight="1" x14ac:dyDescent="0.25">
      <c r="B467" s="1"/>
      <c r="C467" s="1"/>
      <c r="D467" s="1"/>
    </row>
    <row r="468" spans="2:4" ht="15" customHeight="1" x14ac:dyDescent="0.25">
      <c r="B468" s="1"/>
      <c r="C468" s="1"/>
      <c r="D468" s="1"/>
    </row>
    <row r="469" spans="2:4" ht="15" customHeight="1" x14ac:dyDescent="0.25">
      <c r="B469" s="1"/>
      <c r="C469" s="1"/>
      <c r="D469" s="1"/>
    </row>
    <row r="470" spans="2:4" ht="15" customHeight="1" x14ac:dyDescent="0.25">
      <c r="B470" s="1"/>
      <c r="C470" s="1"/>
      <c r="D470" s="1"/>
    </row>
    <row r="471" spans="2:4" ht="15" customHeight="1" x14ac:dyDescent="0.25">
      <c r="B471" s="1"/>
      <c r="C471" s="1"/>
      <c r="D471" s="1"/>
    </row>
    <row r="472" spans="2:4" ht="15" customHeight="1" x14ac:dyDescent="0.25">
      <c r="B472" s="1"/>
      <c r="C472" s="1"/>
      <c r="D472" s="1"/>
    </row>
    <row r="473" spans="2:4" ht="15" customHeight="1" x14ac:dyDescent="0.25">
      <c r="B473" s="1"/>
      <c r="C473" s="1"/>
      <c r="D473" s="1"/>
    </row>
    <row r="474" spans="2:4" ht="15" customHeight="1" x14ac:dyDescent="0.25">
      <c r="B474" s="1"/>
      <c r="C474" s="1"/>
      <c r="D474" s="1"/>
    </row>
  </sheetData>
  <mergeCells count="199">
    <mergeCell ref="W30:Z30"/>
    <mergeCell ref="C25:F25"/>
    <mergeCell ref="W20:Z20"/>
    <mergeCell ref="G19:J19"/>
    <mergeCell ref="G28:J28"/>
    <mergeCell ref="T16:U16"/>
    <mergeCell ref="K22:N22"/>
    <mergeCell ref="W22:Z22"/>
    <mergeCell ref="AA20:AD20"/>
    <mergeCell ref="G30:J30"/>
    <mergeCell ref="S25:V25"/>
    <mergeCell ref="C21:F21"/>
    <mergeCell ref="O28:R28"/>
    <mergeCell ref="C30:F30"/>
    <mergeCell ref="G21:J21"/>
    <mergeCell ref="AA30:AD30"/>
    <mergeCell ref="K24:N24"/>
    <mergeCell ref="K30:N30"/>
    <mergeCell ref="D16:E16"/>
    <mergeCell ref="S18:V18"/>
    <mergeCell ref="S27:V27"/>
    <mergeCell ref="G17:J17"/>
    <mergeCell ref="P16:Q16"/>
    <mergeCell ref="S17:V17"/>
    <mergeCell ref="L9:Q9"/>
    <mergeCell ref="W10:Z10"/>
    <mergeCell ref="O24:R24"/>
    <mergeCell ref="G27:J27"/>
    <mergeCell ref="AE25:AH25"/>
    <mergeCell ref="O18:R18"/>
    <mergeCell ref="I4:Q4"/>
    <mergeCell ref="AI19:AL19"/>
    <mergeCell ref="C31:D31"/>
    <mergeCell ref="AA19:AD19"/>
    <mergeCell ref="AI28:AL28"/>
    <mergeCell ref="AA28:AD28"/>
    <mergeCell ref="AE22:AH22"/>
    <mergeCell ref="H16:I16"/>
    <mergeCell ref="C20:F20"/>
    <mergeCell ref="K29:N29"/>
    <mergeCell ref="O30:R30"/>
    <mergeCell ref="G31:I31"/>
    <mergeCell ref="C29:F29"/>
    <mergeCell ref="AI30:AL30"/>
    <mergeCell ref="O20:R20"/>
    <mergeCell ref="C22:F22"/>
    <mergeCell ref="S28:V28"/>
    <mergeCell ref="O22:R22"/>
    <mergeCell ref="K28:N28"/>
    <mergeCell ref="AE27:AH27"/>
    <mergeCell ref="AM18:AP18"/>
    <mergeCell ref="X16:Y16"/>
    <mergeCell ref="W19:Z19"/>
    <mergeCell ref="AA17:AD17"/>
    <mergeCell ref="K25:N25"/>
    <mergeCell ref="AM17:AP17"/>
    <mergeCell ref="AE20:AH20"/>
    <mergeCell ref="O19:R19"/>
    <mergeCell ref="W25:Z25"/>
    <mergeCell ref="AM20:AP20"/>
    <mergeCell ref="AE28:AH28"/>
    <mergeCell ref="AE18:AH18"/>
    <mergeCell ref="K20:N20"/>
    <mergeCell ref="AM22:AP22"/>
    <mergeCell ref="AM19:AP19"/>
    <mergeCell ref="AI23:AL23"/>
    <mergeCell ref="AI22:AL22"/>
    <mergeCell ref="C23:F23"/>
    <mergeCell ref="G26:J26"/>
    <mergeCell ref="K17:N17"/>
    <mergeCell ref="AI18:AL18"/>
    <mergeCell ref="R12:T12"/>
    <mergeCell ref="W17:Z17"/>
    <mergeCell ref="AM25:AP25"/>
    <mergeCell ref="G25:J25"/>
    <mergeCell ref="K19:N19"/>
    <mergeCell ref="W12:Z12"/>
    <mergeCell ref="G14:J14"/>
    <mergeCell ref="S14:V14"/>
    <mergeCell ref="G13:J13"/>
    <mergeCell ref="AE14:AH14"/>
    <mergeCell ref="S13:V13"/>
    <mergeCell ref="C13:F13"/>
    <mergeCell ref="W13:Z13"/>
    <mergeCell ref="O13:R13"/>
    <mergeCell ref="P10:S10"/>
    <mergeCell ref="C14:F14"/>
    <mergeCell ref="AM14:AP14"/>
    <mergeCell ref="AM28:AP28"/>
    <mergeCell ref="AA13:AD13"/>
    <mergeCell ref="G23:J23"/>
    <mergeCell ref="K21:N21"/>
    <mergeCell ref="AE21:AH21"/>
    <mergeCell ref="O29:R29"/>
    <mergeCell ref="AI15:AL15"/>
    <mergeCell ref="AA15:AD15"/>
    <mergeCell ref="AI24:AL24"/>
    <mergeCell ref="S23:V23"/>
    <mergeCell ref="AE23:AH23"/>
    <mergeCell ref="AI26:AL26"/>
    <mergeCell ref="O21:R21"/>
    <mergeCell ref="G24:J24"/>
    <mergeCell ref="S24:V24"/>
    <mergeCell ref="K27:N27"/>
    <mergeCell ref="C24:F24"/>
    <mergeCell ref="C26:F26"/>
    <mergeCell ref="G18:J18"/>
    <mergeCell ref="AE29:AH29"/>
    <mergeCell ref="W21:Z21"/>
    <mergeCell ref="B66:J66"/>
    <mergeCell ref="O25:R25"/>
    <mergeCell ref="AI20:AL20"/>
    <mergeCell ref="S19:V19"/>
    <mergeCell ref="AI25:AL25"/>
    <mergeCell ref="C27:F27"/>
    <mergeCell ref="AA25:AD25"/>
    <mergeCell ref="G9:K9"/>
    <mergeCell ref="AE19:AH19"/>
    <mergeCell ref="O27:R27"/>
    <mergeCell ref="C17:F17"/>
    <mergeCell ref="L16:M16"/>
    <mergeCell ref="AA18:AD18"/>
    <mergeCell ref="B35:Z38"/>
    <mergeCell ref="O17:R17"/>
    <mergeCell ref="G20:J20"/>
    <mergeCell ref="S30:V30"/>
    <mergeCell ref="G29:J29"/>
    <mergeCell ref="S20:V20"/>
    <mergeCell ref="C19:F19"/>
    <mergeCell ref="C12:E12"/>
    <mergeCell ref="C28:F28"/>
    <mergeCell ref="W14:Z14"/>
    <mergeCell ref="G22:J22"/>
    <mergeCell ref="AM13:AP13"/>
    <mergeCell ref="AA27:AD27"/>
    <mergeCell ref="K26:N26"/>
    <mergeCell ref="W26:Z26"/>
    <mergeCell ref="AA24:AD24"/>
    <mergeCell ref="AM24:AP24"/>
    <mergeCell ref="O26:R26"/>
    <mergeCell ref="AI27:AL27"/>
    <mergeCell ref="AA26:AD26"/>
    <mergeCell ref="AE17:AH17"/>
    <mergeCell ref="K13:N13"/>
    <mergeCell ref="AA22:AD22"/>
    <mergeCell ref="S22:V22"/>
    <mergeCell ref="O23:R23"/>
    <mergeCell ref="AI14:AL14"/>
    <mergeCell ref="AA14:AD14"/>
    <mergeCell ref="K15:N15"/>
    <mergeCell ref="K23:N23"/>
    <mergeCell ref="B1:G5"/>
    <mergeCell ref="AI13:AL13"/>
    <mergeCell ref="C6:F6"/>
    <mergeCell ref="C15:F15"/>
    <mergeCell ref="S21:V21"/>
    <mergeCell ref="G12:J12"/>
    <mergeCell ref="B9:F9"/>
    <mergeCell ref="R9:V9"/>
    <mergeCell ref="C10:E10"/>
    <mergeCell ref="W18:Z18"/>
    <mergeCell ref="C18:F18"/>
    <mergeCell ref="K6:N6"/>
    <mergeCell ref="H10:J10"/>
    <mergeCell ref="G15:J15"/>
    <mergeCell ref="AE13:AH13"/>
    <mergeCell ref="S15:V15"/>
    <mergeCell ref="AA21:AD21"/>
    <mergeCell ref="K14:N14"/>
    <mergeCell ref="W9:Z9"/>
    <mergeCell ref="K18:N18"/>
    <mergeCell ref="O6:R6"/>
    <mergeCell ref="W15:Z15"/>
    <mergeCell ref="O15:R15"/>
    <mergeCell ref="M12:Q12"/>
    <mergeCell ref="AE30:AH30"/>
    <mergeCell ref="AI21:AL21"/>
    <mergeCell ref="S29:V29"/>
    <mergeCell ref="AM15:AP15"/>
    <mergeCell ref="W29:Z29"/>
    <mergeCell ref="O14:R14"/>
    <mergeCell ref="W23:Z23"/>
    <mergeCell ref="AM26:AP26"/>
    <mergeCell ref="AA29:AD29"/>
    <mergeCell ref="W27:Z27"/>
    <mergeCell ref="AE15:AH15"/>
    <mergeCell ref="AM21:AP21"/>
    <mergeCell ref="AE24:AH24"/>
    <mergeCell ref="AA23:AD23"/>
    <mergeCell ref="S26:V26"/>
    <mergeCell ref="AM27:AP27"/>
    <mergeCell ref="AE26:AH26"/>
    <mergeCell ref="AI17:AL17"/>
    <mergeCell ref="AM29:AP29"/>
    <mergeCell ref="AM23:AP23"/>
    <mergeCell ref="W24:Z24"/>
    <mergeCell ref="W28:Z28"/>
    <mergeCell ref="AI29:AL29"/>
    <mergeCell ref="AM30:AP30"/>
  </mergeCells>
  <printOptions horizontalCentered="1"/>
  <pageMargins left="0.25" right="0.25" top="0.25" bottom="0.25" header="0.511811023622047" footer="0.511811023622047"/>
  <pageSetup orientation="landscape" horizontalDpi="300" verticalDpi="300"/>
  <rowBreaks count="2" manualBreakCount="2">
    <brk id="7" max="16383" man="1"/>
    <brk id="44" max="16383" man="1"/>
  </rowBreaks>
  <colBreaks count="1" manualBreakCount="1">
    <brk id="2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Meter Proving Test Record ( (4)</vt:lpstr>
      <vt:lpstr>Meter Proving Test Record ( (3)</vt:lpstr>
      <vt:lpstr>Meter Proving Test Record</vt:lpstr>
      <vt:lpstr>'Meter Proving Test Record'!Print_Area</vt:lpstr>
      <vt:lpstr>'Meter Proving Test Record ( (3)'!Print_Area</vt:lpstr>
      <vt:lpstr>'Meter Proving Test Record ( (4)'!Print_Area</vt:lpstr>
      <vt:lpstr>'Meter Proving Test Record ( (3)'!Shelltable</vt:lpstr>
      <vt:lpstr>'Meter Proving Test Record ( (4)'!Shelltable</vt:lpstr>
      <vt:lpstr>Shelltable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Smith</dc:creator>
  <cp:lastModifiedBy>Mike Smith</cp:lastModifiedBy>
  <cp:revision>0</cp:revision>
  <cp:lastPrinted>2024-08-29T15:47:23Z</cp:lastPrinted>
  <dcterms:created xsi:type="dcterms:W3CDTF">1998-09-24T16:25:09Z</dcterms:created>
  <dcterms:modified xsi:type="dcterms:W3CDTF">2026-05-06T17:13:08Z</dcterms:modified>
  <dc:language>en-US</dc:language>
</cp:coreProperties>
</file>